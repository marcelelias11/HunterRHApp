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LENOVO\Dropbox\HunterRH (1)\CAMPANHA DE CARTAS\CONTROLE DE ENVIO DE CARTAS\ANO 2024\01. JANEIRO\"/>
    </mc:Choice>
  </mc:AlternateContent>
  <xr:revisionPtr revIDLastSave="0" documentId="13_ncr:1_{061A5809-B1C1-4072-9C97-3AD3EE0ACFE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AMPANHA DE CARTAS" sheetId="1" r:id="rId1"/>
    <sheet name="OUTROS ENVIOS" sheetId="2" r:id="rId2"/>
  </sheets>
  <externalReferences>
    <externalReference r:id="rId3"/>
  </externalReferences>
  <definedNames>
    <definedName name="_xlnm._FilterDatabase" localSheetId="0" hidden="1">'CAMPANHA DE CARTAS'!$A$1:$AO$337</definedName>
  </definedNames>
  <calcPr calcId="181029"/>
  <extLst>
    <ext uri="GoogleSheetsCustomDataVersion2">
      <go:sheetsCustomData xmlns:go="http://customooxmlschemas.google.com/" r:id="rId5" roundtripDataChecksum="ouXPEOxjgMbPoryRKl3pvPnbwDGOWc6rp7bkiavvsdM="/>
    </ext>
  </extLst>
</workbook>
</file>

<file path=xl/calcChain.xml><?xml version="1.0" encoding="utf-8"?>
<calcChain xmlns="http://schemas.openxmlformats.org/spreadsheetml/2006/main">
  <c r="A339" i="1" l="1"/>
  <c r="A340" i="1"/>
  <c r="A341" i="1"/>
  <c r="B11" i="1"/>
  <c r="D1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l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C253" i="1"/>
  <c r="C181" i="1"/>
  <c r="C221" i="1"/>
  <c r="B4" i="1" l="1"/>
  <c r="D56" i="1"/>
  <c r="D55" i="1"/>
  <c r="D53" i="1"/>
  <c r="D52" i="1"/>
  <c r="D51" i="1"/>
  <c r="D50" i="1"/>
  <c r="B56" i="1"/>
  <c r="B55" i="1"/>
  <c r="B53" i="1"/>
  <c r="B52" i="1"/>
  <c r="B51" i="1"/>
  <c r="B50" i="1"/>
  <c r="D49" i="1"/>
  <c r="D47" i="1"/>
  <c r="D42" i="1"/>
  <c r="B49" i="1"/>
  <c r="B47" i="1"/>
  <c r="B45" i="1"/>
  <c r="B44" i="1"/>
  <c r="B42" i="1"/>
  <c r="D41" i="1"/>
  <c r="D40" i="1"/>
  <c r="B41" i="1"/>
  <c r="B40" i="1"/>
  <c r="D38" i="1"/>
  <c r="D37" i="1"/>
  <c r="B38" i="1"/>
  <c r="B37" i="1"/>
  <c r="D36" i="1"/>
  <c r="D35" i="1"/>
  <c r="D34" i="1"/>
  <c r="B36" i="1"/>
  <c r="B35" i="1"/>
  <c r="B34" i="1"/>
  <c r="D33" i="1"/>
  <c r="B33" i="1"/>
  <c r="D22" i="1"/>
  <c r="D21" i="1"/>
  <c r="D20" i="1"/>
  <c r="B22" i="1"/>
  <c r="B21" i="1"/>
  <c r="B20" i="1"/>
  <c r="D19" i="1"/>
  <c r="D18" i="1"/>
  <c r="D17" i="1"/>
  <c r="B19" i="1"/>
  <c r="B18" i="1"/>
  <c r="B17" i="1"/>
  <c r="D16" i="1" l="1"/>
  <c r="B16" i="1"/>
  <c r="D15" i="1"/>
  <c r="B15" i="1"/>
  <c r="D14" i="1"/>
  <c r="D12" i="1"/>
  <c r="B14" i="1"/>
  <c r="B12" i="1"/>
  <c r="B9" i="1"/>
  <c r="D6" i="1"/>
  <c r="D4" i="1"/>
  <c r="B6" i="1"/>
  <c r="C141" i="1"/>
  <c r="F2" i="1" l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l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83" i="1" l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</calcChain>
</file>

<file path=xl/sharedStrings.xml><?xml version="1.0" encoding="utf-8"?>
<sst xmlns="http://schemas.openxmlformats.org/spreadsheetml/2006/main" count="1061" uniqueCount="483">
  <si>
    <t xml:space="preserve">EMPRESA </t>
  </si>
  <si>
    <t>ESTADO</t>
  </si>
  <si>
    <t>SEGMENTO</t>
  </si>
  <si>
    <t>Ademir</t>
  </si>
  <si>
    <t>Adriano</t>
  </si>
  <si>
    <t>Aida</t>
  </si>
  <si>
    <t>Aldo</t>
  </si>
  <si>
    <t>Allan</t>
  </si>
  <si>
    <t xml:space="preserve">Alvaro </t>
  </si>
  <si>
    <t>Antonio Carlos</t>
  </si>
  <si>
    <t>Antonio Jose</t>
  </si>
  <si>
    <t>André Luiz</t>
  </si>
  <si>
    <t>Carlos Henrique**</t>
  </si>
  <si>
    <t>Carlos Q</t>
  </si>
  <si>
    <t>Catarina</t>
  </si>
  <si>
    <t>Claudia Couto</t>
  </si>
  <si>
    <t>Claudio JR**</t>
  </si>
  <si>
    <t>Diego</t>
  </si>
  <si>
    <t>Edjane</t>
  </si>
  <si>
    <t>Edvânia</t>
  </si>
  <si>
    <t>Felipe**</t>
  </si>
  <si>
    <t>Francisco Almeida</t>
  </si>
  <si>
    <t>Ionara</t>
  </si>
  <si>
    <t>Julio Pacca</t>
  </si>
  <si>
    <t>Julio Cesar</t>
  </si>
  <si>
    <t>Karina</t>
  </si>
  <si>
    <t xml:space="preserve">Laís </t>
  </si>
  <si>
    <t>Lessandro</t>
  </si>
  <si>
    <t>Luiz Ricardo</t>
  </si>
  <si>
    <t>Marcia</t>
  </si>
  <si>
    <t>Marysa</t>
  </si>
  <si>
    <t>Michel**</t>
  </si>
  <si>
    <t>Noeli**</t>
  </si>
  <si>
    <t>Paulo Victor**</t>
  </si>
  <si>
    <t>Rafael Piccoli</t>
  </si>
  <si>
    <t>Rita</t>
  </si>
  <si>
    <t>Robson</t>
  </si>
  <si>
    <t>Silvan</t>
  </si>
  <si>
    <t>Simone</t>
  </si>
  <si>
    <t>Sonia</t>
  </si>
  <si>
    <t>Taís</t>
  </si>
  <si>
    <t>1</t>
  </si>
  <si>
    <t>A Lusitana</t>
  </si>
  <si>
    <t xml:space="preserve">BA </t>
  </si>
  <si>
    <t>TRANSPORTADORA</t>
  </si>
  <si>
    <t>SE</t>
  </si>
  <si>
    <t>Agência Vetor Brasil</t>
  </si>
  <si>
    <t>SP</t>
  </si>
  <si>
    <t>AGÊNCIA DE PUBLICIDADE</t>
  </si>
  <si>
    <t>Altenburg</t>
  </si>
  <si>
    <t>INDÚSTRIA TÊXTIL</t>
  </si>
  <si>
    <t>Alumínio Barbosa Panelas &amp; Cia</t>
  </si>
  <si>
    <t>INDÚSTRIA</t>
  </si>
  <si>
    <t>INDÚSTRIA ALIMENTICIA</t>
  </si>
  <si>
    <t>Ampacet</t>
  </si>
  <si>
    <t>INDÚSTRIA PLÁSTICOS</t>
  </si>
  <si>
    <t xml:space="preserve">Armazem Distribuidora e Logistica Ltda. </t>
  </si>
  <si>
    <t>SC</t>
  </si>
  <si>
    <t>DISTRIBUIDORA</t>
  </si>
  <si>
    <t>Banco Will bank</t>
  </si>
  <si>
    <t>BANCO</t>
  </si>
  <si>
    <t>Barros Filhos Imóveis LTDA</t>
  </si>
  <si>
    <t>IMOBILIARIA</t>
  </si>
  <si>
    <t>Basf Camaçari</t>
  </si>
  <si>
    <t>INDÚSTRIA QUIMICA</t>
  </si>
  <si>
    <t>BPN Soluçoes Financeiras</t>
  </si>
  <si>
    <t>FINANCEIRA</t>
  </si>
  <si>
    <t>Brasflex Colchões</t>
  </si>
  <si>
    <t xml:space="preserve">INDÚSTRIA </t>
  </si>
  <si>
    <t>Braskem</t>
  </si>
  <si>
    <t>Braveo</t>
  </si>
  <si>
    <t>Braveo RH</t>
  </si>
  <si>
    <t>Bridgestone</t>
  </si>
  <si>
    <t>BA</t>
  </si>
  <si>
    <t>LOJA DE PNEUS</t>
  </si>
  <si>
    <t>Brink´s</t>
  </si>
  <si>
    <t>INSTITUIÇÃO FINANCEIRA</t>
  </si>
  <si>
    <t>Casas Bahia</t>
  </si>
  <si>
    <t>LOJA</t>
  </si>
  <si>
    <t>Centauro</t>
  </si>
  <si>
    <t>LABORATÓRIO</t>
  </si>
  <si>
    <t>INDÚSTRIA CERÂMICA</t>
  </si>
  <si>
    <t>Cetrel</t>
  </si>
  <si>
    <t>INDÚSTRIA HIDRICA</t>
  </si>
  <si>
    <t>Cimefix Artefatos de Cimento</t>
  </si>
  <si>
    <t>Colchões Durmaflex</t>
  </si>
  <si>
    <t>INDÚSTRIA DE COLCHÕES</t>
  </si>
  <si>
    <t xml:space="preserve">Colégio COESI - Colégio de Orientação e Estudos Integrados </t>
  </si>
  <si>
    <t>COLÉGIO</t>
  </si>
  <si>
    <t>Colégio Jardins</t>
  </si>
  <si>
    <t>Colégio Master</t>
  </si>
  <si>
    <t>Colégio Módulo</t>
  </si>
  <si>
    <t>Colégio Salesiano</t>
  </si>
  <si>
    <t>Colégio Salvador</t>
  </si>
  <si>
    <t>Colégio São Paulo</t>
  </si>
  <si>
    <t>Colégio Uni +</t>
  </si>
  <si>
    <t>Colortex Indústria de Tintas e Texturas</t>
  </si>
  <si>
    <t>Comercial Gerdau</t>
  </si>
  <si>
    <t>Concrenor Blocos e Piso</t>
  </si>
  <si>
    <t>Condibras Industria de Alimentos
 (Forttuni)</t>
  </si>
  <si>
    <t>Consorciado Empreendimento</t>
  </si>
  <si>
    <t>Constat - Home Care</t>
  </si>
  <si>
    <t>CLINICA</t>
  </si>
  <si>
    <t>Construtora Celi</t>
  </si>
  <si>
    <t>CONSTRUTORA</t>
  </si>
  <si>
    <t>Construtora Moura Dubeux Engenharia S.A.</t>
  </si>
  <si>
    <t>PE</t>
  </si>
  <si>
    <t>Construtora Shalon &amp; Serviços</t>
  </si>
  <si>
    <t>Construtora Sonda Engenharia e Construções Ltda</t>
  </si>
  <si>
    <t>Construtora Stanza</t>
  </si>
  <si>
    <t>Construtora União</t>
  </si>
  <si>
    <t>Coopertalse</t>
  </si>
  <si>
    <t>COOPERATIVA DE TRANSPORTES</t>
  </si>
  <si>
    <t>Cosil Construções e Incorporações</t>
  </si>
  <si>
    <t>Crown Embalagens Metalica da Amazonia</t>
  </si>
  <si>
    <t>INDÚSTRIA DE EMBALAGENS</t>
  </si>
  <si>
    <t>CYCLO 08/11 (GILTON)</t>
  </si>
  <si>
    <t>RECRUTAMENTO SELEÇÃO PARCEIRO</t>
  </si>
  <si>
    <t>Del Mar Hotel</t>
  </si>
  <si>
    <t>HOTEL</t>
  </si>
  <si>
    <t>Delcanto Hotel</t>
  </si>
  <si>
    <t>Detem Quimica</t>
  </si>
  <si>
    <t>INDÚSTRIA QUÍMICA</t>
  </si>
  <si>
    <t>Distribuidora Asa Branca - AL</t>
  </si>
  <si>
    <t>AL</t>
  </si>
  <si>
    <t>Durit Brasil</t>
  </si>
  <si>
    <t>METALURGICA</t>
  </si>
  <si>
    <t>Eco Privillege Hotel</t>
  </si>
  <si>
    <t>Elétrica Aliança</t>
  </si>
  <si>
    <t>EMA Planejamento e Incorporações Ltda.</t>
  </si>
  <si>
    <t>ENERGISA</t>
  </si>
  <si>
    <t>INDÚSTRIA DE ENERGIA</t>
  </si>
  <si>
    <t>Eneva HUB Sergipe</t>
  </si>
  <si>
    <t>USINA ELÉTRICA</t>
  </si>
  <si>
    <t>Engineering SA</t>
  </si>
  <si>
    <t>Escola Babylândia</t>
  </si>
  <si>
    <t>ESCOLA</t>
  </si>
  <si>
    <t>Espaço Ativo Geriatria Integrada</t>
  </si>
  <si>
    <t>Essencial Indústria e Comércio</t>
  </si>
  <si>
    <t>INDÚSTRIA textil</t>
  </si>
  <si>
    <t>Essilor Connecta</t>
  </si>
  <si>
    <t>FABRICA DE LENTES OFTALMOLOGICA</t>
  </si>
  <si>
    <t>Estre  Ambiental</t>
  </si>
  <si>
    <t>SERVIÇOS URBANOS</t>
  </si>
  <si>
    <t>Eurofarma</t>
  </si>
  <si>
    <t>Fábrica Imperador</t>
  </si>
  <si>
    <t>Facar - Faculdade de Aracaju</t>
  </si>
  <si>
    <t>FACULDADE</t>
  </si>
  <si>
    <t>Faculdade AGES</t>
  </si>
  <si>
    <t>Faculdade de Direito 8 de Julho</t>
  </si>
  <si>
    <t>Faculdade Estácio- RJ</t>
  </si>
  <si>
    <t>RJ</t>
  </si>
  <si>
    <t>Faculdade Fama</t>
  </si>
  <si>
    <t>Faculdade Jardins</t>
  </si>
  <si>
    <t>Faculdade Pio Décimo</t>
  </si>
  <si>
    <t xml:space="preserve">Faculdade UNIFACS   </t>
  </si>
  <si>
    <t>Faculdade Uninassau- PE</t>
  </si>
  <si>
    <t>Fanese - Faculdade de Administração e Negócios de Sergipe</t>
  </si>
  <si>
    <t xml:space="preserve">Farma </t>
  </si>
  <si>
    <t>DISTRIBUIDORA DE MEDICAMENTOS</t>
  </si>
  <si>
    <t>Farmácia Drogasil</t>
  </si>
  <si>
    <t>FARMÁCIA</t>
  </si>
  <si>
    <t>Farmácia Edson</t>
  </si>
  <si>
    <t>FARMACIA</t>
  </si>
  <si>
    <t>Farmacia Gbarbosa</t>
  </si>
  <si>
    <t xml:space="preserve">Farmacia Pague Menos </t>
  </si>
  <si>
    <t>CE</t>
  </si>
  <si>
    <t>Farmácia Souza</t>
  </si>
  <si>
    <t>Fasouto</t>
  </si>
  <si>
    <t>Fazenda Boa Luz Hotel Aracaju</t>
  </si>
  <si>
    <t>Ferrocorte Industrial</t>
  </si>
  <si>
    <t>DISTRIBUIDOR DE AÇO</t>
  </si>
  <si>
    <t>FFB Participações e Construções Ltda.</t>
  </si>
  <si>
    <t>Fiação Itabaiana</t>
  </si>
  <si>
    <t>INDÚSTRIA TEXTIL</t>
  </si>
  <si>
    <t>Fiesta Bahia Hotel</t>
  </si>
  <si>
    <t>Fixar Industrial</t>
  </si>
  <si>
    <t>INDÚSTRIA PARAFUSOS</t>
  </si>
  <si>
    <t>Flora H &amp; L</t>
  </si>
  <si>
    <t>CENTRO DE DISTRIBUIÇÃO</t>
  </si>
  <si>
    <t>Flora LBS</t>
  </si>
  <si>
    <t>Formitex</t>
  </si>
  <si>
    <t>Formula Exata</t>
  </si>
  <si>
    <t>Frutal Nordeste</t>
  </si>
  <si>
    <t>Fruteb</t>
  </si>
  <si>
    <t>Fujini</t>
  </si>
  <si>
    <t xml:space="preserve">Fundação Escola Nacinal de Seguros -Finenseg </t>
  </si>
  <si>
    <t>ESCOLA DE SEGUROS</t>
  </si>
  <si>
    <t>General Mills Brasil</t>
  </si>
  <si>
    <t>Go Inn Aracaju</t>
  </si>
  <si>
    <t>Gosto da Fruta</t>
  </si>
  <si>
    <t>Grupo Cavalo Marinho</t>
  </si>
  <si>
    <t>TRANSPORTADORA DOS DERIVADOS DO PETRÓLEO</t>
  </si>
  <si>
    <t>Grupo Coringa</t>
  </si>
  <si>
    <t>Grupo de Investidores  Acon</t>
  </si>
  <si>
    <t>Grupo GE</t>
  </si>
  <si>
    <t>Grupo JCPM</t>
  </si>
  <si>
    <t>GRUPO EMPRESARIAL</t>
  </si>
  <si>
    <t>Grupo Miro Santos</t>
  </si>
  <si>
    <t>Grupo Moura</t>
  </si>
  <si>
    <t>FÁBRICA DE BATERIA</t>
  </si>
  <si>
    <t>Grupo O Boticario</t>
  </si>
  <si>
    <t>INDÚSTRIA DE COSMÉTICOS</t>
  </si>
  <si>
    <t>Grupo Petropolis</t>
  </si>
  <si>
    <t>INDÚSTRIA DE BEBIDAS</t>
  </si>
  <si>
    <t>Grupo Royal</t>
  </si>
  <si>
    <t>Grupo Tiradentes</t>
  </si>
  <si>
    <t>Habitacional Construções</t>
  </si>
  <si>
    <t>Hapvida Matriz Administração</t>
  </si>
  <si>
    <t>HOSPITAL</t>
  </si>
  <si>
    <t>Heca Construtora Ltda</t>
  </si>
  <si>
    <t>Help</t>
  </si>
  <si>
    <t>Home Center Ferreira Costa Aracaju</t>
  </si>
  <si>
    <t>Hospital Cirurgia</t>
  </si>
  <si>
    <t>Hospital da Criança</t>
  </si>
  <si>
    <t>Hospital de Olhos</t>
  </si>
  <si>
    <t>Hospital Deco´s</t>
  </si>
  <si>
    <t xml:space="preserve">Hospital do Coração  </t>
  </si>
  <si>
    <t>Hospital do Rim</t>
  </si>
  <si>
    <t xml:space="preserve">Hospital e Maternidade Santa Helena </t>
  </si>
  <si>
    <t>Hospital e Maternidade Santa Isabel</t>
  </si>
  <si>
    <t>Hospital e Maternidade Sempre Viva</t>
  </si>
  <si>
    <t>Hospital Gabriel Soares</t>
  </si>
  <si>
    <t>Hospital IOCM</t>
  </si>
  <si>
    <t>Hospital Ocular</t>
  </si>
  <si>
    <t>Hospital Primavera</t>
  </si>
  <si>
    <t>Hospital Primavera RH</t>
  </si>
  <si>
    <t>Hospital Renascença</t>
  </si>
  <si>
    <t>Hospital São Domingos Sávio</t>
  </si>
  <si>
    <t>Hospital São José</t>
  </si>
  <si>
    <t>Hospital São Lucas</t>
  </si>
  <si>
    <t>Hospital Unimed-SE</t>
  </si>
  <si>
    <t>Hotel Atalaia</t>
  </si>
  <si>
    <t>Hotel da Costa by Nobile</t>
  </si>
  <si>
    <t>Hotel Ibis Aracaju</t>
  </si>
  <si>
    <t>Hotel Ibis Budget Aracaju</t>
  </si>
  <si>
    <t>Hotel Pedra do Sino</t>
  </si>
  <si>
    <t xml:space="preserve">Hotel Quality </t>
  </si>
  <si>
    <t>Hotel São Paulo</t>
  </si>
  <si>
    <t>Hotelaria Accor Brasil S.A.</t>
  </si>
  <si>
    <t>Icase - Instituto de Cardiologia de Sergipe Ltda.</t>
  </si>
  <si>
    <t>Imperial Brasil Ind &amp; Comércio Ltda</t>
  </si>
  <si>
    <t>Impulse art</t>
  </si>
  <si>
    <t>Indaiá Fonte São Cristovão</t>
  </si>
  <si>
    <t>Indústria Camil Alimentos</t>
  </si>
  <si>
    <t>Indústria Damare Laticínios</t>
  </si>
  <si>
    <t>Indústria Guf Química e farmaceutica</t>
  </si>
  <si>
    <t>Indústria Heringer</t>
  </si>
  <si>
    <t>FERTILIZANTES</t>
  </si>
  <si>
    <t>Indústria Leite de Rosas</t>
  </si>
  <si>
    <t>Indústria Lev Agua Mineral</t>
  </si>
  <si>
    <t>Indústria Oriental</t>
  </si>
  <si>
    <t>INDÚSTRIA PROD LIMPEZA</t>
  </si>
  <si>
    <t>Indústrias Alimentícias Maratá</t>
  </si>
  <si>
    <t>Inox Line Placas, Trofeus, Medalhas e Brindes Ltda.</t>
  </si>
  <si>
    <t>Instituto Dom Fernando Gomes</t>
  </si>
  <si>
    <t>Ipc do Nordeste</t>
  </si>
  <si>
    <t>INDÚSTRIA PETROQUIMICA</t>
  </si>
  <si>
    <t>Janssen Cilag Farmacêutica</t>
  </si>
  <si>
    <t>INDÚSTRIA  FARMACÊUTICA</t>
  </si>
  <si>
    <t xml:space="preserve">Jessé </t>
  </si>
  <si>
    <t>Johnson &amp; Johnson</t>
  </si>
  <si>
    <t xml:space="preserve">Jotanunes Construtora </t>
  </si>
  <si>
    <t xml:space="preserve">Kalunga </t>
  </si>
  <si>
    <t>Kalykim</t>
  </si>
  <si>
    <t>Knauf</t>
  </si>
  <si>
    <t>L. Amorim Locação de Equipamento</t>
  </si>
  <si>
    <t>AGÊNCIA DE LOCAÇÃO</t>
  </si>
  <si>
    <t>Laredo Urbanizadora</t>
  </si>
  <si>
    <t xml:space="preserve">Le Biscuit </t>
  </si>
  <si>
    <t>Lemos Passos Alimentos</t>
  </si>
  <si>
    <t xml:space="preserve">Lojas Imperador </t>
  </si>
  <si>
    <t>Lutchi Cafés</t>
  </si>
  <si>
    <t>INDÚSTRIA ALIMENTÍCIA</t>
  </si>
  <si>
    <t>Magazine Luiza</t>
  </si>
  <si>
    <t>Maison Cherry</t>
  </si>
  <si>
    <t>Makai Resort Aracaju</t>
  </si>
  <si>
    <t>Manserv</t>
  </si>
  <si>
    <t>Martins</t>
  </si>
  <si>
    <t>Massa Pronta Engenharia Indústria e Comércio</t>
  </si>
  <si>
    <t>Maxx Papel</t>
  </si>
  <si>
    <t>Megga Atacadista Ltda</t>
  </si>
  <si>
    <t>SUPERMERCADO</t>
  </si>
  <si>
    <t>Mervil</t>
  </si>
  <si>
    <t>Mila Indústria e Comércio LTDA</t>
  </si>
  <si>
    <t>Moinho J. Macedo</t>
  </si>
  <si>
    <t>Mosaic Fertilizantes</t>
  </si>
  <si>
    <t>INDÚSTRIAL DE FERTILIZANTES</t>
  </si>
  <si>
    <t>MRV Engenharia</t>
  </si>
  <si>
    <t>Multserv</t>
  </si>
  <si>
    <t>SERVIÇOS</t>
  </si>
  <si>
    <t>Mulvi</t>
  </si>
  <si>
    <t>Myrales Pharma</t>
  </si>
  <si>
    <t>INDÚSTRIA FARMACÊUTICA</t>
  </si>
  <si>
    <t>Nação Arqui</t>
  </si>
  <si>
    <t>Nassal Construtora</t>
  </si>
  <si>
    <t>Natville Laticinios Santa Maria</t>
  </si>
  <si>
    <t>v</t>
  </si>
  <si>
    <t>NB Empreendimentos</t>
  </si>
  <si>
    <t>Nivea</t>
  </si>
  <si>
    <t>INDUSTRIA DE COSMÉTICOS</t>
  </si>
  <si>
    <t>Nível Superior</t>
  </si>
  <si>
    <t>EMP FORMATURA</t>
  </si>
  <si>
    <t>Nova Química</t>
  </si>
  <si>
    <t>Pagueon</t>
  </si>
  <si>
    <t>Patrus Transportes</t>
  </si>
  <si>
    <t>MG</t>
  </si>
  <si>
    <t>TRANSPORTDORA</t>
  </si>
  <si>
    <t>Peixoto Gonçalves INDÚSTRIA e Comércio</t>
  </si>
  <si>
    <t>Pepsico</t>
  </si>
  <si>
    <t>Peroxy Bahia</t>
  </si>
  <si>
    <t>Petrolab</t>
  </si>
  <si>
    <t>Petrox</t>
  </si>
  <si>
    <t>POSTO DE COMBUSTIVEL</t>
  </si>
  <si>
    <t>Phoenix Distribuidora de Medicamentos</t>
  </si>
  <si>
    <t>Physis Medicina Personalizada</t>
  </si>
  <si>
    <t>Pingo Cosméticos Indústria e Comércio LTDA</t>
  </si>
  <si>
    <t>Pisolar</t>
  </si>
  <si>
    <t>MATERIAL DE CONSTRUÇÃO</t>
  </si>
  <si>
    <t>Plamed</t>
  </si>
  <si>
    <t>PLANOS DE SAUDE</t>
  </si>
  <si>
    <t>Plural Marketing</t>
  </si>
  <si>
    <t>AGÊNCIA DE COMUNICAÇÃO</t>
  </si>
  <si>
    <t>Polimix</t>
  </si>
  <si>
    <t>INDÚSTRIA DE liMPEZA</t>
  </si>
  <si>
    <t>Ponto do Aço</t>
  </si>
  <si>
    <t>LOJA MATERIAL DE CONSTRUÇÃO</t>
  </si>
  <si>
    <t>Pousada Castanho</t>
  </si>
  <si>
    <t xml:space="preserve">Pousada Prive Rio Belo </t>
  </si>
  <si>
    <t>Prata Pipas</t>
  </si>
  <si>
    <t xml:space="preserve">Preçolândia </t>
  </si>
  <si>
    <t>Pre-Moldados Barbosa</t>
  </si>
  <si>
    <t>Prevent Pharma</t>
  </si>
  <si>
    <t>INDÚSTRIA FARMACEUTICA</t>
  </si>
  <si>
    <t>Prima Empreendimentos Inovadores</t>
  </si>
  <si>
    <t>Primasa Engenharia</t>
  </si>
  <si>
    <t>Procter &amp; Gamble</t>
  </si>
  <si>
    <t>INDUSTRIA COMESTICA</t>
  </si>
  <si>
    <t>Prosegur</t>
  </si>
  <si>
    <t>SEGURANÇA</t>
  </si>
  <si>
    <t>Quality Hotel Aracaju</t>
  </si>
  <si>
    <t xml:space="preserve">Radio Jovem Pan </t>
  </si>
  <si>
    <t>TELECOMUNICAÇÃO</t>
  </si>
  <si>
    <t>Ravello Pisos e Revestimentos</t>
  </si>
  <si>
    <t>Regina Delicatessen</t>
  </si>
  <si>
    <t>Rocha Atacado</t>
  </si>
  <si>
    <t>DISTRIBUIDORA DE ALIMENTOS</t>
  </si>
  <si>
    <t>Samam</t>
  </si>
  <si>
    <t>CONCESSIONÁRIA</t>
  </si>
  <si>
    <t>San Giovanni Oncologia</t>
  </si>
  <si>
    <t>Sandrin Praia Hotel</t>
  </si>
  <si>
    <t>Santa Cecília Água Mineral</t>
  </si>
  <si>
    <t>São Cristóvão Água Mineral</t>
  </si>
  <si>
    <t>Sarandi Alimentos SE - Motrisa</t>
  </si>
  <si>
    <t>Schlumberger</t>
  </si>
  <si>
    <t>INDÚSTRIA PETROLIFERA</t>
  </si>
  <si>
    <t>Senge Engenharia</t>
  </si>
  <si>
    <t>Sercol Saneamento e Construções</t>
  </si>
  <si>
    <t>Sergifil</t>
  </si>
  <si>
    <t>Sergyene</t>
  </si>
  <si>
    <t>INDÚSTRIA DE PAPEL</t>
  </si>
  <si>
    <t>Serigy Madeiras</t>
  </si>
  <si>
    <t>MADEIREIRA</t>
  </si>
  <si>
    <t>Serveloja</t>
  </si>
  <si>
    <t>Sescoop/SE - Casa do Cooperativismos</t>
  </si>
  <si>
    <t>COOPERATIVA</t>
  </si>
  <si>
    <t>Shopping Jardins</t>
  </si>
  <si>
    <t>SHOPPING</t>
  </si>
  <si>
    <t>Shopping Rio Mar</t>
  </si>
  <si>
    <t>Sindicato da INDÚSTRIA da Construção Civil de Sergipe - Sinduscon</t>
  </si>
  <si>
    <t>SINDICATO</t>
  </si>
  <si>
    <t>Sindicato do Comércio Atacadista do Estado de Sergipe - Sincadise</t>
  </si>
  <si>
    <t>Sindicato dos Empregados do Comércio de Aracaju - Seca</t>
  </si>
  <si>
    <t>Sindicato dos Servidores Publicos Municipais de Aracaju - Sepuma</t>
  </si>
  <si>
    <t>Simona Blade</t>
  </si>
  <si>
    <t>Slim Colchões</t>
  </si>
  <si>
    <t>SMTT</t>
  </si>
  <si>
    <t>Solar Coca-Cola</t>
  </si>
  <si>
    <t>Solim</t>
  </si>
  <si>
    <t>Solistica</t>
  </si>
  <si>
    <t>SERVIÇO DE LOGISTICA</t>
  </si>
  <si>
    <t xml:space="preserve">Somed Distribuidora </t>
  </si>
  <si>
    <t>Sorvetes Gellito's</t>
  </si>
  <si>
    <t>SPR Engenharia</t>
  </si>
  <si>
    <t>Supermercado Assai Atacadista</t>
  </si>
  <si>
    <t>Supermercado Atacadão</t>
  </si>
  <si>
    <t>Supermercado GBarbosa - Cencosud</t>
  </si>
  <si>
    <t>Supermercado J Peixoto</t>
  </si>
  <si>
    <t xml:space="preserve">Supermercado Massimo </t>
  </si>
  <si>
    <t>Supermercado Mega</t>
  </si>
  <si>
    <t>Supermercado Messias Peixoto</t>
  </si>
  <si>
    <t>ASSOCIAÇÃO</t>
  </si>
  <si>
    <t>Supermercado Mix Matheus</t>
  </si>
  <si>
    <t>Supermercado Regina</t>
  </si>
  <si>
    <t xml:space="preserve">Takeda Pharma </t>
  </si>
  <si>
    <t>Torre Empreendimentos Rural E Construção Ltda</t>
  </si>
  <si>
    <t>Tramontina Multi</t>
  </si>
  <si>
    <t>RS</t>
  </si>
  <si>
    <t>Transmetais</t>
  </si>
  <si>
    <t>Transul Transporte Urbano</t>
  </si>
  <si>
    <t>EMPRESA DE TRANSPORTE</t>
  </si>
  <si>
    <t>Tropfruit Nordeste S/A</t>
  </si>
  <si>
    <t>TV Atalaia</t>
  </si>
  <si>
    <t>TV Sergipe</t>
  </si>
  <si>
    <t>TWF Logística e Transporte</t>
  </si>
  <si>
    <t>Logística</t>
  </si>
  <si>
    <t xml:space="preserve">Ultragaz  </t>
  </si>
  <si>
    <t>União Engenharia</t>
  </si>
  <si>
    <t>Unigel</t>
  </si>
  <si>
    <t>Usina Pinheiro</t>
  </si>
  <si>
    <t>Vale Fertilizantes</t>
  </si>
  <si>
    <t>INDÚSTRIA DE PRODUTOS QUIMICOS</t>
  </si>
  <si>
    <t>Valgroup</t>
  </si>
  <si>
    <t>INDÚSTRIA DE PREFORMA</t>
  </si>
  <si>
    <t>Valor Imobiliaria</t>
  </si>
  <si>
    <t>Viação Atalaia</t>
  </si>
  <si>
    <t>EMP TRANSPORTE</t>
  </si>
  <si>
    <t>Viação Modelo</t>
  </si>
  <si>
    <t>Vida Assistência Saúde</t>
  </si>
  <si>
    <t>Vidam Hotel Aracaju</t>
  </si>
  <si>
    <t>Visolab</t>
  </si>
  <si>
    <t>INDÚSTRIA ÓTICA</t>
  </si>
  <si>
    <t>Vitória Transportes</t>
  </si>
  <si>
    <t>Viva Construções e Incorporações</t>
  </si>
  <si>
    <t>Voa Internet</t>
  </si>
  <si>
    <t>TELECOMUNICAÇÕES</t>
  </si>
  <si>
    <t>Votorantim Cimentos</t>
  </si>
  <si>
    <t>Wert Investimentos</t>
  </si>
  <si>
    <t>BANCO DE INVESTIMENTO</t>
  </si>
  <si>
    <t>White Martins</t>
  </si>
  <si>
    <t>INDÚSTRIA DE GÁS</t>
  </si>
  <si>
    <t>Xingó Parque Hotel</t>
  </si>
  <si>
    <t>Yazaki do Brasil</t>
  </si>
  <si>
    <t>FABRICANTE DE AUTOPEÇAS</t>
  </si>
  <si>
    <t>EMPRESAS QUE JÁ TRABALHOU</t>
  </si>
  <si>
    <t>EMPRESAS QUE IREMOS ENVIAR NA SEMANA</t>
  </si>
  <si>
    <t>EMPRESAS QUE JÁ ENVIAMOS</t>
  </si>
  <si>
    <t>DATA</t>
  </si>
  <si>
    <t>EMPRESA</t>
  </si>
  <si>
    <t>TIPO DE ENTREGA CV</t>
  </si>
  <si>
    <t>André luiz</t>
  </si>
  <si>
    <t>Carlos Henrique</t>
  </si>
  <si>
    <t>SAMAM</t>
  </si>
  <si>
    <t>Visita</t>
  </si>
  <si>
    <t>Stanza</t>
  </si>
  <si>
    <t xml:space="preserve">Confidencial </t>
  </si>
  <si>
    <t>Envio</t>
  </si>
  <si>
    <t>Viva Construções</t>
  </si>
  <si>
    <t>Megga Distribuidora</t>
  </si>
  <si>
    <t>Confidencial (Cempre)</t>
  </si>
  <si>
    <t xml:space="preserve">Envio </t>
  </si>
  <si>
    <t>Pomar</t>
  </si>
  <si>
    <t>Santa Helena</t>
  </si>
  <si>
    <t>Industria Oriental</t>
  </si>
  <si>
    <t>Industria Cia da Formula</t>
  </si>
  <si>
    <t xml:space="preserve">Vale Fertilizantes </t>
  </si>
  <si>
    <t>Envio/rasc.</t>
  </si>
  <si>
    <t>Dakota Calçados</t>
  </si>
  <si>
    <t>FABRICA DE CALÇADOS</t>
  </si>
  <si>
    <t>Galloti</t>
  </si>
  <si>
    <t>LOCADORA DE SERVIÇOS</t>
  </si>
  <si>
    <t>Beviláqua Distribuidora</t>
  </si>
  <si>
    <t>Maratá</t>
  </si>
  <si>
    <t>Sicredi</t>
  </si>
  <si>
    <t>Envio/Linkedin</t>
  </si>
  <si>
    <t xml:space="preserve">Galotti </t>
  </si>
  <si>
    <t>Michel</t>
  </si>
  <si>
    <t>Constren Construções e Engenharia Ltda</t>
  </si>
  <si>
    <t>Construtora Santa Maria</t>
  </si>
  <si>
    <t>JDE Jacobs Douwe Egberts</t>
  </si>
  <si>
    <t>Franquia Oboticario</t>
  </si>
  <si>
    <t>Linkedin/Site</t>
  </si>
  <si>
    <t>Empresa Confidencial</t>
  </si>
  <si>
    <t>Linkedin/envio</t>
  </si>
  <si>
    <t xml:space="preserve">Grupo Uchôa </t>
  </si>
  <si>
    <t>Liliane</t>
  </si>
  <si>
    <t>Onco Clinicas</t>
  </si>
  <si>
    <t xml:space="preserve">Grupo Coringa </t>
  </si>
  <si>
    <t>Usina São José do Pinheiro</t>
  </si>
  <si>
    <t>Envio/Indicação</t>
  </si>
  <si>
    <t>CONSTAT</t>
  </si>
  <si>
    <t>HOSPITAL DOS RINS</t>
  </si>
  <si>
    <t>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</si>
</sst>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rgb="FF202124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7F7F7F"/>
      </patternFill>
    </fill>
    <fill>
      <patternFill patternType="solid">
        <fgColor rgb="FFFFFF00"/>
        <bgColor rgb="FFA5A5A5"/>
      </patternFill>
    </fill>
    <fill>
      <patternFill patternType="solid">
        <fgColor rgb="FFFFFF00"/>
        <bgColor rgb="FF7F7F7F"/>
      </patternFill>
    </fill>
    <fill>
      <patternFill patternType="solid">
        <fgColor rgb="FF92D050"/>
        <bgColor rgb="FFA5A5A5"/>
      </patternFill>
    </fill>
    <fill>
      <patternFill patternType="solid">
        <fgColor rgb="FF92D050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548135"/>
      </patternFill>
    </fill>
    <fill>
      <patternFill patternType="solid">
        <fgColor theme="0"/>
        <bgColor rgb="FF54813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49" fontId="6" fillId="9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 wrapText="1"/>
    </xf>
    <xf numFmtId="49" fontId="8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49" fontId="5" fillId="10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49" fontId="5" fillId="10" borderId="2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12" borderId="3" xfId="0" applyFont="1" applyFill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11" borderId="3" xfId="0" applyFont="1" applyFill="1" applyBorder="1" applyAlignment="1">
      <alignment vertical="center"/>
    </xf>
    <xf numFmtId="0" fontId="5" fillId="11" borderId="3" xfId="0" applyFont="1" applyFill="1" applyBorder="1" applyAlignment="1">
      <alignment horizontal="left" vertical="center" wrapText="1"/>
    </xf>
    <xf numFmtId="49" fontId="5" fillId="11" borderId="3" xfId="0" applyNumberFormat="1" applyFont="1" applyFill="1" applyBorder="1" applyAlignment="1">
      <alignment vertical="center"/>
    </xf>
    <xf numFmtId="0" fontId="5" fillId="11" borderId="3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left" vertical="center"/>
    </xf>
    <xf numFmtId="0" fontId="5" fillId="16" borderId="3" xfId="0" applyFont="1" applyFill="1" applyBorder="1" applyAlignment="1">
      <alignment vertical="center"/>
    </xf>
    <xf numFmtId="49" fontId="5" fillId="12" borderId="3" xfId="0" applyNumberFormat="1" applyFont="1" applyFill="1" applyBorder="1" applyAlignment="1">
      <alignment vertical="center"/>
    </xf>
    <xf numFmtId="49" fontId="5" fillId="12" borderId="3" xfId="0" applyNumberFormat="1" applyFont="1" applyFill="1" applyBorder="1" applyAlignment="1">
      <alignment horizontal="left" vertical="center"/>
    </xf>
    <xf numFmtId="49" fontId="6" fillId="9" borderId="6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11" borderId="3" xfId="0" applyFont="1" applyFill="1" applyBorder="1" applyAlignment="1">
      <alignment vertical="center" wrapText="1"/>
    </xf>
    <xf numFmtId="49" fontId="5" fillId="0" borderId="3" xfId="0" applyNumberFormat="1" applyFont="1" applyBorder="1" applyAlignment="1">
      <alignment vertical="center" wrapText="1"/>
    </xf>
    <xf numFmtId="49" fontId="5" fillId="11" borderId="3" xfId="0" applyNumberFormat="1" applyFont="1" applyFill="1" applyBorder="1" applyAlignment="1">
      <alignment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0" fontId="9" fillId="11" borderId="3" xfId="0" applyFont="1" applyFill="1" applyBorder="1" applyAlignment="1">
      <alignment vertical="center"/>
    </xf>
    <xf numFmtId="0" fontId="9" fillId="12" borderId="3" xfId="0" applyFont="1" applyFill="1" applyBorder="1" applyAlignment="1">
      <alignment vertical="center"/>
    </xf>
    <xf numFmtId="0" fontId="9" fillId="16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left" vertical="center" wrapText="1"/>
    </xf>
    <xf numFmtId="0" fontId="9" fillId="14" borderId="3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13" borderId="3" xfId="0" applyFont="1" applyFill="1" applyBorder="1" applyAlignment="1">
      <alignment vertical="center"/>
    </xf>
    <xf numFmtId="0" fontId="5" fillId="15" borderId="3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/>
    </xf>
    <xf numFmtId="0" fontId="11" fillId="16" borderId="3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12" borderId="3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49" fontId="5" fillId="11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0" fillId="0" borderId="3" xfId="0" applyNumberFormat="1" applyFont="1" applyBorder="1" applyAlignment="1">
      <alignment vertical="center" wrapText="1"/>
    </xf>
    <xf numFmtId="0" fontId="9" fillId="11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0" fillId="11" borderId="3" xfId="0" applyFont="1" applyFill="1" applyBorder="1" applyAlignment="1">
      <alignment horizontal="left" vertical="center" wrapText="1"/>
    </xf>
    <xf numFmtId="0" fontId="0" fillId="11" borderId="3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0" borderId="3" xfId="0" applyBorder="1"/>
    <xf numFmtId="0" fontId="0" fillId="11" borderId="3" xfId="0" applyFill="1" applyBorder="1"/>
    <xf numFmtId="0" fontId="0" fillId="18" borderId="3" xfId="0" applyFill="1" applyBorder="1"/>
    <xf numFmtId="16" fontId="0" fillId="0" borderId="3" xfId="0" applyNumberFormat="1" applyBorder="1"/>
    <xf numFmtId="16" fontId="15" fillId="0" borderId="3" xfId="0" applyNumberFormat="1" applyFont="1" applyBorder="1"/>
    <xf numFmtId="0" fontId="4" fillId="0" borderId="3" xfId="0" applyFont="1" applyBorder="1"/>
    <xf numFmtId="0" fontId="5" fillId="17" borderId="3" xfId="0" applyFont="1" applyFill="1" applyBorder="1" applyAlignment="1">
      <alignment vertical="center"/>
    </xf>
    <xf numFmtId="16" fontId="3" fillId="0" borderId="3" xfId="0" applyNumberFormat="1" applyFont="1" applyBorder="1"/>
    <xf numFmtId="0" fontId="2" fillId="0" borderId="3" xfId="0" applyFont="1" applyBorder="1"/>
    <xf numFmtId="0" fontId="0" fillId="19" borderId="3" xfId="0" applyFill="1" applyBorder="1"/>
    <xf numFmtId="16" fontId="0" fillId="12" borderId="3" xfId="0" applyNumberFormat="1" applyFill="1" applyBorder="1"/>
    <xf numFmtId="0" fontId="1" fillId="0" borderId="3" xfId="0" applyFont="1" applyBorder="1"/>
    <xf numFmtId="0" fontId="0" fillId="11" borderId="0" xfId="0" applyFill="1"/>
    <xf numFmtId="49" fontId="13" fillId="2" borderId="3" xfId="0" applyNumberFormat="1" applyFont="1" applyFill="1" applyBorder="1" applyAlignment="1">
      <alignment horizontal="center" vertical="center" wrapText="1"/>
    </xf>
    <xf numFmtId="49" fontId="13" fillId="2" borderId="5" xfId="0" applyNumberFormat="1" applyFont="1" applyFill="1" applyBorder="1" applyAlignment="1">
      <alignment horizontal="center" vertical="center" wrapText="1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44450</xdr:colOff>
      <xdr:row>139</xdr:row>
      <xdr:rowOff>254000</xdr:rowOff>
    </xdr:from>
    <xdr:ext cx="38100" cy="1524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51DBF84D-CBEB-49FB-869C-143BD921EFAC}"/>
            </a:ext>
          </a:extLst>
        </xdr:cNvPr>
        <xdr:cNvSpPr/>
      </xdr:nvSpPr>
      <xdr:spPr>
        <a:xfrm>
          <a:off x="668867" y="68241333"/>
          <a:ext cx="381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129117</xdr:colOff>
      <xdr:row>138</xdr:row>
      <xdr:rowOff>486834</xdr:rowOff>
    </xdr:from>
    <xdr:ext cx="38100" cy="1524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4C1AE9C9-A1AE-469F-A8B7-301AA8DFE8EC}"/>
            </a:ext>
          </a:extLst>
        </xdr:cNvPr>
        <xdr:cNvSpPr/>
      </xdr:nvSpPr>
      <xdr:spPr>
        <a:xfrm>
          <a:off x="753534" y="67966167"/>
          <a:ext cx="381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-19050</xdr:colOff>
      <xdr:row>210</xdr:row>
      <xdr:rowOff>0</xdr:rowOff>
    </xdr:from>
    <xdr:ext cx="38100" cy="1524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CBA0ECA3-C486-4A10-894D-39B6104FBEE1}"/>
            </a:ext>
          </a:extLst>
        </xdr:cNvPr>
        <xdr:cNvSpPr/>
      </xdr:nvSpPr>
      <xdr:spPr>
        <a:xfrm>
          <a:off x="377190" y="48166020"/>
          <a:ext cx="381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-19050</xdr:colOff>
      <xdr:row>261</xdr:row>
      <xdr:rowOff>0</xdr:rowOff>
    </xdr:from>
    <xdr:ext cx="38100" cy="1524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CEC77762-04B8-4533-B184-97F2542E8E72}"/>
            </a:ext>
          </a:extLst>
        </xdr:cNvPr>
        <xdr:cNvSpPr/>
      </xdr:nvSpPr>
      <xdr:spPr>
        <a:xfrm>
          <a:off x="377190" y="57858660"/>
          <a:ext cx="381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-19050</xdr:colOff>
      <xdr:row>275</xdr:row>
      <xdr:rowOff>0</xdr:rowOff>
    </xdr:from>
    <xdr:ext cx="38100" cy="15240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17462C87-543A-43CF-AF5F-8FDB83BBE4C9}"/>
            </a:ext>
          </a:extLst>
        </xdr:cNvPr>
        <xdr:cNvSpPr/>
      </xdr:nvSpPr>
      <xdr:spPr>
        <a:xfrm>
          <a:off x="377190" y="61394340"/>
          <a:ext cx="381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ra%20Pereira/CURSO%20UNI%20Dropbox/Nara%20Pereira/001.%20HUNTERH/CAMPANHA%20DE%20CARTAS/BANCO%20DE%20EMPRESAS%20ATUALIZADO%20EM%2023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EMPRESAS DE SERGIPE"/>
      <sheetName val="NÃO ENVIAR CORRESPONDÊNCIA"/>
      <sheetName val="ENVIADO ATE 30.10"/>
      <sheetName val="ENVIADO 13.11"/>
      <sheetName val="ENVIADO 20.11"/>
      <sheetName val="ENVIADO 03,12"/>
    </sheetNames>
    <sheetDataSet>
      <sheetData sheetId="0">
        <row r="2">
          <cell r="E2" t="str">
            <v>INDUSTRIA ALIMENTICIA</v>
          </cell>
          <cell r="L2" t="str">
            <v>BA</v>
          </cell>
        </row>
      </sheetData>
      <sheetData sheetId="1">
        <row r="2">
          <cell r="B2" t="str">
            <v>Aeroportos Nordeste do Brasil S.A. (Aena Brasil)</v>
          </cell>
          <cell r="D2" t="str">
            <v>OPERADORA AEROPORTUÁRIA</v>
          </cell>
        </row>
        <row r="3">
          <cell r="B3" t="str">
            <v xml:space="preserve">Águas Do Velho Chico Hotel </v>
          </cell>
          <cell r="D3" t="str">
            <v>HOTEL</v>
          </cell>
        </row>
        <row r="4">
          <cell r="B4" t="str">
            <v>AmBev Águas Claras do Norte</v>
          </cell>
        </row>
        <row r="5">
          <cell r="B5" t="str">
            <v xml:space="preserve">Aquários Praia Hotel </v>
          </cell>
          <cell r="D5" t="str">
            <v>HOTEL</v>
          </cell>
        </row>
        <row r="6">
          <cell r="B6" t="str">
            <v>Arcus Hotel</v>
          </cell>
          <cell r="D6" t="str">
            <v>HOTEL</v>
          </cell>
        </row>
        <row r="7">
          <cell r="B7" t="str">
            <v>Aruanã Eco Praia Hotel</v>
          </cell>
          <cell r="D7" t="str">
            <v>HOTEL</v>
          </cell>
        </row>
        <row r="8">
          <cell r="B8" t="str">
            <v>Ases - Associação Sergipana de Supermercados</v>
          </cell>
          <cell r="D8" t="str">
            <v>ASSOCIAÇÃO</v>
          </cell>
        </row>
        <row r="9">
          <cell r="B9" t="str">
            <v>Atalaia Apart Hotel</v>
          </cell>
          <cell r="D9" t="str">
            <v>APART HOTEL</v>
          </cell>
        </row>
        <row r="10">
          <cell r="B10" t="str">
            <v>Banco Daycoval</v>
          </cell>
          <cell r="D10" t="str">
            <v>BANCO</v>
          </cell>
        </row>
        <row r="11">
          <cell r="B11" t="str">
            <v>Banco DelBank</v>
          </cell>
          <cell r="D11" t="str">
            <v>BANCO</v>
          </cell>
        </row>
        <row r="12">
          <cell r="B12" t="str">
            <v>Banco Itaú</v>
          </cell>
          <cell r="D12" t="str">
            <v>BANCO</v>
          </cell>
        </row>
        <row r="13">
          <cell r="B13" t="str">
            <v>Banco Santander</v>
          </cell>
          <cell r="D13" t="str">
            <v>BANCO</v>
          </cell>
        </row>
        <row r="14">
          <cell r="B14" t="str">
            <v>Banco Sicoob</v>
          </cell>
          <cell r="D14" t="str">
            <v>BANCO</v>
          </cell>
        </row>
        <row r="15">
          <cell r="B15" t="str">
            <v xml:space="preserve">Banco Sicredi </v>
          </cell>
          <cell r="D15" t="str">
            <v>BANCO</v>
          </cell>
        </row>
        <row r="16">
          <cell r="B16" t="str">
            <v>BTS Ambiental</v>
          </cell>
          <cell r="D16" t="str">
            <v>PRESTADORA DE SERVIÇOS URBANOS</v>
          </cell>
        </row>
        <row r="17">
          <cell r="B17" t="str">
            <v>Camel Empreendimentos e Construções</v>
          </cell>
          <cell r="D17" t="str">
            <v>CONSTRUTORA</v>
          </cell>
        </row>
        <row r="18">
          <cell r="B18" t="str">
            <v>Carmo Energy</v>
          </cell>
          <cell r="D18" t="str">
            <v>INDUSTRIA DE ENERGIA</v>
          </cell>
        </row>
        <row r="19">
          <cell r="B19" t="str">
            <v>Carmo Energy RH</v>
          </cell>
          <cell r="D19" t="str">
            <v>INDUSTRIA DE ENERGIA</v>
          </cell>
        </row>
        <row r="20">
          <cell r="B20" t="str">
            <v>Casa Esportiva</v>
          </cell>
          <cell r="D20" t="str">
            <v>LOJA</v>
          </cell>
        </row>
        <row r="21">
          <cell r="B21" t="str">
            <v xml:space="preserve">Casa Mais Móveis </v>
          </cell>
          <cell r="D21" t="str">
            <v>LOJA</v>
          </cell>
        </row>
        <row r="22">
          <cell r="B22" t="str">
            <v>Celi Hotel Aracaju</v>
          </cell>
          <cell r="D22" t="str">
            <v>HOTEL</v>
          </cell>
        </row>
        <row r="23">
          <cell r="B23" t="str">
            <v xml:space="preserve">Celi Mall Decor  </v>
          </cell>
          <cell r="D23" t="str">
            <v>LOJA</v>
          </cell>
        </row>
        <row r="24">
          <cell r="B24" t="str">
            <v>Cemise - Centro de Medicina Integrada de Sergipe</v>
          </cell>
          <cell r="D24" t="str">
            <v>CLINICA</v>
          </cell>
        </row>
        <row r="25">
          <cell r="B25" t="str">
            <v>Cenutri - Clinica Especializada de Nutrição Ltda</v>
          </cell>
        </row>
        <row r="26">
          <cell r="B26" t="str">
            <v>Ceramica Serra Azul</v>
          </cell>
        </row>
        <row r="27">
          <cell r="B27" t="str">
            <v>Cia da Formula</v>
          </cell>
          <cell r="D27" t="str">
            <v>FÁRMACIA DE MANUPULAÇÃO</v>
          </cell>
        </row>
        <row r="28">
          <cell r="B28" t="str">
            <v>Clinica de Repouso São Marcelo</v>
          </cell>
          <cell r="D28" t="str">
            <v>CLINICA</v>
          </cell>
        </row>
        <row r="29">
          <cell r="B29" t="str">
            <v>Clinica Endogastro - Endoscopia, Colonoscopia e Ultrasonografia Aracaju</v>
          </cell>
          <cell r="D29" t="str">
            <v>CLINICA</v>
          </cell>
        </row>
        <row r="30">
          <cell r="B30" t="str">
            <v>Clinica São Camilo</v>
          </cell>
          <cell r="D30" t="str">
            <v>CLINICA</v>
          </cell>
        </row>
        <row r="31">
          <cell r="B31" t="str">
            <v>Clinradi - Radiografia e Imagem</v>
          </cell>
          <cell r="D31" t="str">
            <v>CLINICA</v>
          </cell>
        </row>
        <row r="32">
          <cell r="B32" t="str">
            <v xml:space="preserve">Cohab Premium Imobiliaria </v>
          </cell>
          <cell r="D32" t="str">
            <v>IMOBILIARIA</v>
          </cell>
        </row>
        <row r="33">
          <cell r="B33" t="str">
            <v>Colégio Amadeus</v>
          </cell>
          <cell r="D33" t="str">
            <v>COLÉGIO</v>
          </cell>
        </row>
        <row r="34">
          <cell r="B34" t="str">
            <v>Colégio CCPA</v>
          </cell>
          <cell r="D34" t="str">
            <v>COLÉGIO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1F3864"/>
  </sheetPr>
  <dimension ref="A1:AQ1082"/>
  <sheetViews>
    <sheetView zoomScale="60" zoomScaleNormal="60" workbookViewId="0">
      <pane xSplit="2" ySplit="1" topLeftCell="C332" activePane="bottomRight" state="frozen"/>
      <selection pane="topRight" activeCell="B1" sqref="B1"/>
      <selection pane="bottomLeft" activeCell="A2" sqref="A2"/>
      <selection pane="bottomRight" activeCell="A228" sqref="A228:XFD228"/>
    </sheetView>
  </sheetViews>
  <sheetFormatPr defaultColWidth="14.42578125" defaultRowHeight="25.15" customHeight="1" x14ac:dyDescent="0.25"/>
  <cols>
    <col min="1" max="1" width="9.28515625" style="15" customWidth="1"/>
    <col min="2" max="2" width="52.7109375" style="57" customWidth="1"/>
    <col min="3" max="3" width="19" style="15" customWidth="1"/>
    <col min="4" max="4" width="25.140625" style="77" customWidth="1"/>
    <col min="5" max="6" width="15.7109375" style="50" customWidth="1"/>
    <col min="7" max="7" width="15.7109375" style="50" hidden="1" customWidth="1"/>
    <col min="8" max="27" width="15.7109375" style="50" customWidth="1"/>
    <col min="28" max="28" width="15.7109375" style="50" hidden="1" customWidth="1"/>
    <col min="29" max="42" width="15.7109375" style="50" customWidth="1"/>
    <col min="43" max="16384" width="14.42578125" style="50"/>
  </cols>
  <sheetData>
    <row r="1" spans="1:42" s="15" customFormat="1" ht="42.6" customHeight="1" x14ac:dyDescent="0.25">
      <c r="A1" s="106"/>
      <c r="B1" s="102" t="s">
        <v>0</v>
      </c>
      <c r="C1" s="104" t="s">
        <v>1</v>
      </c>
      <c r="D1" s="102" t="s">
        <v>2</v>
      </c>
      <c r="E1" s="26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1" t="s">
        <v>8</v>
      </c>
      <c r="K1" s="5" t="s">
        <v>9</v>
      </c>
      <c r="L1" s="6" t="s">
        <v>10</v>
      </c>
      <c r="M1" s="3" t="s">
        <v>11</v>
      </c>
      <c r="N1" s="82" t="s">
        <v>12</v>
      </c>
      <c r="O1" s="7" t="s">
        <v>13</v>
      </c>
      <c r="P1" s="7" t="s">
        <v>14</v>
      </c>
      <c r="Q1" s="6" t="s">
        <v>15</v>
      </c>
      <c r="R1" s="6" t="s">
        <v>16</v>
      </c>
      <c r="S1" s="8" t="s">
        <v>17</v>
      </c>
      <c r="T1" s="8" t="s">
        <v>18</v>
      </c>
      <c r="U1" s="9" t="s">
        <v>19</v>
      </c>
      <c r="V1" s="8" t="s">
        <v>20</v>
      </c>
      <c r="W1" s="5" t="s">
        <v>21</v>
      </c>
      <c r="X1" s="10" t="s">
        <v>22</v>
      </c>
      <c r="Y1" s="7" t="s">
        <v>23</v>
      </c>
      <c r="Z1" s="2" t="s">
        <v>24</v>
      </c>
      <c r="AA1" s="8" t="s">
        <v>25</v>
      </c>
      <c r="AB1" s="10" t="s">
        <v>26</v>
      </c>
      <c r="AC1" s="8" t="s">
        <v>27</v>
      </c>
      <c r="AD1" s="8" t="s">
        <v>28</v>
      </c>
      <c r="AE1" s="9" t="s">
        <v>29</v>
      </c>
      <c r="AF1" s="9" t="s">
        <v>30</v>
      </c>
      <c r="AG1" s="8" t="s">
        <v>31</v>
      </c>
      <c r="AH1" s="8" t="s">
        <v>32</v>
      </c>
      <c r="AI1" s="11" t="s">
        <v>33</v>
      </c>
      <c r="AJ1" s="11" t="s">
        <v>34</v>
      </c>
      <c r="AK1" s="9" t="s">
        <v>35</v>
      </c>
      <c r="AL1" s="8" t="s">
        <v>36</v>
      </c>
      <c r="AM1" s="10" t="s">
        <v>37</v>
      </c>
      <c r="AN1" s="7" t="s">
        <v>38</v>
      </c>
      <c r="AO1" s="2" t="s">
        <v>39</v>
      </c>
      <c r="AP1" s="7" t="s">
        <v>40</v>
      </c>
    </row>
    <row r="2" spans="1:42" s="33" customFormat="1" ht="25.15" hidden="1" customHeight="1" x14ac:dyDescent="0.25">
      <c r="A2" s="107"/>
      <c r="B2" s="103"/>
      <c r="C2" s="105"/>
      <c r="D2" s="103"/>
      <c r="E2" s="21" t="s">
        <v>41</v>
      </c>
      <c r="F2" s="21">
        <f t="shared" ref="F2" si="0">E2+1</f>
        <v>2</v>
      </c>
      <c r="G2" s="21">
        <f t="shared" ref="G2" si="1">F2+1</f>
        <v>3</v>
      </c>
      <c r="H2" s="21">
        <f t="shared" ref="H2" si="2">G2+1</f>
        <v>4</v>
      </c>
      <c r="I2" s="21">
        <f t="shared" ref="I2" si="3">H2+1</f>
        <v>5</v>
      </c>
      <c r="J2" s="21">
        <f t="shared" ref="J2" si="4">I2+1</f>
        <v>6</v>
      </c>
      <c r="K2" s="21">
        <f t="shared" ref="K2" si="5">J2+1</f>
        <v>7</v>
      </c>
      <c r="L2" s="21">
        <f t="shared" ref="L2" si="6">K2+1</f>
        <v>8</v>
      </c>
      <c r="M2" s="21">
        <f t="shared" ref="M2" si="7">L2+1</f>
        <v>9</v>
      </c>
      <c r="N2" s="21">
        <f t="shared" ref="N2" si="8">M2+1</f>
        <v>10</v>
      </c>
      <c r="O2" s="21">
        <f t="shared" ref="O2" si="9">N2+1</f>
        <v>11</v>
      </c>
      <c r="P2" s="21">
        <f t="shared" ref="P2" si="10">O2+1</f>
        <v>12</v>
      </c>
      <c r="Q2" s="21">
        <f t="shared" ref="Q2" si="11">P2+1</f>
        <v>13</v>
      </c>
      <c r="R2" s="21">
        <f t="shared" ref="R2" si="12">Q2+1</f>
        <v>14</v>
      </c>
      <c r="S2" s="21">
        <f t="shared" ref="S2" si="13">R2+1</f>
        <v>15</v>
      </c>
      <c r="T2" s="21">
        <f t="shared" ref="T2" si="14">S2+1</f>
        <v>16</v>
      </c>
      <c r="U2" s="21">
        <f t="shared" ref="U2" si="15">T2+1</f>
        <v>17</v>
      </c>
      <c r="V2" s="21">
        <f t="shared" ref="V2" si="16">U2+1</f>
        <v>18</v>
      </c>
      <c r="W2" s="21">
        <f t="shared" ref="W2" si="17">V2+1</f>
        <v>19</v>
      </c>
      <c r="X2" s="21">
        <f t="shared" ref="X2" si="18">W2+1</f>
        <v>20</v>
      </c>
      <c r="Y2" s="21">
        <f t="shared" ref="Y2" si="19">X2+1</f>
        <v>21</v>
      </c>
      <c r="Z2" s="21">
        <f t="shared" ref="Z2" si="20">Y2+1</f>
        <v>22</v>
      </c>
      <c r="AA2" s="21">
        <f t="shared" ref="AA2" si="21">Z2+1</f>
        <v>23</v>
      </c>
      <c r="AB2" s="21">
        <f t="shared" ref="AB2" si="22">AA2+1</f>
        <v>24</v>
      </c>
      <c r="AC2" s="21">
        <f t="shared" ref="AC2" si="23">AB2+1</f>
        <v>25</v>
      </c>
      <c r="AD2" s="21">
        <f t="shared" ref="AD2" si="24">AC2+1</f>
        <v>26</v>
      </c>
      <c r="AE2" s="21">
        <f t="shared" ref="AE2" si="25">AD2+1</f>
        <v>27</v>
      </c>
      <c r="AF2" s="21">
        <f t="shared" ref="AF2" si="26">AE2+1</f>
        <v>28</v>
      </c>
      <c r="AG2" s="21">
        <f t="shared" ref="AG2" si="27">AF2+1</f>
        <v>29</v>
      </c>
      <c r="AH2" s="21">
        <f t="shared" ref="AH2" si="28">AG2+1</f>
        <v>30</v>
      </c>
      <c r="AI2" s="21">
        <f t="shared" ref="AI2" si="29">AH2+1</f>
        <v>31</v>
      </c>
      <c r="AJ2" s="21">
        <f t="shared" ref="AJ2" si="30">AI2+1</f>
        <v>32</v>
      </c>
      <c r="AK2" s="21">
        <f t="shared" ref="AK2" si="31">AJ2+1</f>
        <v>33</v>
      </c>
      <c r="AL2" s="21">
        <f t="shared" ref="AL2" si="32">AK2+1</f>
        <v>34</v>
      </c>
      <c r="AM2" s="21">
        <f t="shared" ref="AM2" si="33">AL2+1</f>
        <v>35</v>
      </c>
      <c r="AN2" s="21">
        <f t="shared" ref="AN2" si="34">AM2+1</f>
        <v>36</v>
      </c>
      <c r="AO2" s="21">
        <f t="shared" ref="AO2" si="35">AN2+1</f>
        <v>37</v>
      </c>
      <c r="AP2" s="21">
        <f t="shared" ref="AP2" si="36">AO2+1</f>
        <v>38</v>
      </c>
    </row>
    <row r="3" spans="1:42" s="35" customFormat="1" ht="40.15" hidden="1" customHeight="1" x14ac:dyDescent="0.25">
      <c r="A3" s="79">
        <v>1</v>
      </c>
      <c r="B3" s="28" t="s">
        <v>42</v>
      </c>
      <c r="C3" s="60" t="s">
        <v>43</v>
      </c>
      <c r="D3" s="62" t="s">
        <v>44</v>
      </c>
      <c r="E3" s="16"/>
      <c r="F3" s="36"/>
      <c r="G3" s="36"/>
      <c r="H3" s="22"/>
      <c r="I3" s="36"/>
      <c r="J3" s="22"/>
      <c r="K3" s="36"/>
      <c r="L3" s="36"/>
      <c r="M3" s="22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16"/>
      <c r="AP3" s="36"/>
    </row>
    <row r="4" spans="1:42" s="35" customFormat="1" ht="40.15" customHeight="1" x14ac:dyDescent="0.25">
      <c r="A4" s="79">
        <f>A3+1</f>
        <v>2</v>
      </c>
      <c r="B4" s="28" t="str">
        <f>'[1]EMPRESAS DE SERGIPE'!$B$2</f>
        <v>Aeroportos Nordeste do Brasil S.A. (Aena Brasil)</v>
      </c>
      <c r="C4" s="60" t="s">
        <v>45</v>
      </c>
      <c r="D4" s="62" t="str">
        <f>'[1]EMPRESAS DE SERGIPE'!$D$2</f>
        <v>OPERADORA AEROPORTUÁRIA</v>
      </c>
      <c r="E4" s="37"/>
      <c r="F4" s="37"/>
      <c r="G4" s="36"/>
      <c r="H4" s="16"/>
      <c r="I4" s="36"/>
      <c r="J4" s="16"/>
      <c r="K4" s="36"/>
      <c r="L4" s="36"/>
      <c r="M4" s="37"/>
      <c r="N4" s="36"/>
      <c r="O4" s="36"/>
      <c r="P4" s="36"/>
      <c r="Q4" s="36"/>
      <c r="R4" s="36"/>
      <c r="S4" s="37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/>
      <c r="AG4" s="36"/>
      <c r="AH4" s="36"/>
      <c r="AI4" s="36"/>
      <c r="AJ4" s="36"/>
      <c r="AK4" s="36"/>
      <c r="AL4" s="36"/>
      <c r="AM4" s="36"/>
      <c r="AN4" s="36"/>
      <c r="AO4" s="37"/>
      <c r="AP4" s="36"/>
    </row>
    <row r="5" spans="1:42" s="35" customFormat="1" ht="40.15" hidden="1" customHeight="1" x14ac:dyDescent="0.25">
      <c r="A5" s="79">
        <f t="shared" ref="A5:A68" si="37">A4+1</f>
        <v>3</v>
      </c>
      <c r="B5" s="28" t="s">
        <v>46</v>
      </c>
      <c r="C5" s="60" t="s">
        <v>47</v>
      </c>
      <c r="D5" s="62" t="s">
        <v>48</v>
      </c>
      <c r="E5" s="16"/>
      <c r="F5" s="36"/>
      <c r="G5" s="36"/>
      <c r="H5" s="18"/>
      <c r="I5" s="36"/>
      <c r="J5" s="18"/>
      <c r="K5" s="36"/>
      <c r="L5" s="36"/>
      <c r="M5" s="18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</row>
    <row r="6" spans="1:42" s="35" customFormat="1" ht="40.15" customHeight="1" x14ac:dyDescent="0.25">
      <c r="A6" s="79">
        <f t="shared" si="37"/>
        <v>4</v>
      </c>
      <c r="B6" s="80" t="str">
        <f>'[1]EMPRESAS DE SERGIPE'!$B$3</f>
        <v xml:space="preserve">Águas Do Velho Chico Hotel </v>
      </c>
      <c r="C6" s="60" t="s">
        <v>45</v>
      </c>
      <c r="D6" s="62" t="str">
        <f>'[1]EMPRESAS DE SERGIPE'!$D$3</f>
        <v>HOTEL</v>
      </c>
      <c r="E6" s="12"/>
      <c r="F6" s="41"/>
      <c r="G6" s="36"/>
      <c r="H6" s="18"/>
      <c r="I6" s="36"/>
      <c r="J6" s="18"/>
      <c r="K6" s="37"/>
      <c r="L6" s="36"/>
      <c r="M6" s="18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16"/>
      <c r="Z6" s="36"/>
      <c r="AA6" s="36"/>
      <c r="AB6" s="36"/>
      <c r="AC6" s="36"/>
      <c r="AD6" s="1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s="35" customFormat="1" ht="40.15" customHeight="1" x14ac:dyDescent="0.25">
      <c r="A7" s="79">
        <f t="shared" si="37"/>
        <v>5</v>
      </c>
      <c r="B7" s="17" t="s">
        <v>49</v>
      </c>
      <c r="C7" s="59" t="s">
        <v>45</v>
      </c>
      <c r="D7" s="63" t="s">
        <v>50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 spans="1:42" s="35" customFormat="1" ht="40.15" customHeight="1" x14ac:dyDescent="0.25">
      <c r="A8" s="79">
        <f t="shared" si="37"/>
        <v>6</v>
      </c>
      <c r="B8" s="17" t="s">
        <v>51</v>
      </c>
      <c r="C8" s="59" t="s">
        <v>45</v>
      </c>
      <c r="D8" s="63" t="s">
        <v>52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1:42" s="35" customFormat="1" ht="40.15" customHeight="1" x14ac:dyDescent="0.25">
      <c r="A9" s="79">
        <f t="shared" si="37"/>
        <v>7</v>
      </c>
      <c r="B9" s="28" t="str">
        <f>'[1]EMPRESAS DE SERGIPE'!$B$4</f>
        <v>AmBev Águas Claras do Norte</v>
      </c>
      <c r="C9" s="60" t="s">
        <v>45</v>
      </c>
      <c r="D9" s="62" t="s">
        <v>53</v>
      </c>
      <c r="E9" s="37"/>
      <c r="F9" s="36"/>
      <c r="G9" s="36"/>
      <c r="H9" s="37"/>
      <c r="I9" s="36"/>
      <c r="J9" s="16"/>
      <c r="K9" s="36"/>
      <c r="L9" s="36"/>
      <c r="M9" s="16"/>
      <c r="N9" s="36"/>
      <c r="O9" s="36"/>
      <c r="P9" s="36"/>
      <c r="Q9" s="36"/>
      <c r="R9" s="36"/>
      <c r="S9" s="36"/>
      <c r="T9" s="36"/>
      <c r="U9" s="37"/>
      <c r="V9" s="36"/>
      <c r="W9" s="36"/>
      <c r="X9" s="36"/>
      <c r="Y9" s="37"/>
      <c r="Z9" s="36"/>
      <c r="AA9" s="37"/>
      <c r="AB9" s="36"/>
      <c r="AC9" s="41"/>
      <c r="AD9" s="37"/>
      <c r="AE9" s="36"/>
      <c r="AF9" s="36"/>
      <c r="AG9" s="36"/>
      <c r="AH9" s="36"/>
      <c r="AI9" s="36"/>
      <c r="AJ9" s="36"/>
      <c r="AK9" s="36"/>
      <c r="AL9" s="37"/>
      <c r="AM9" s="37"/>
      <c r="AN9" s="36"/>
      <c r="AO9" s="36"/>
      <c r="AP9" s="36"/>
    </row>
    <row r="10" spans="1:42" s="35" customFormat="1" ht="40.15" hidden="1" customHeight="1" x14ac:dyDescent="0.25">
      <c r="A10" s="79">
        <f t="shared" si="37"/>
        <v>8</v>
      </c>
      <c r="B10" s="28" t="s">
        <v>54</v>
      </c>
      <c r="C10" s="60" t="s">
        <v>43</v>
      </c>
      <c r="D10" s="62" t="s">
        <v>55</v>
      </c>
      <c r="E10" s="16"/>
      <c r="F10" s="36"/>
      <c r="G10" s="36"/>
      <c r="H10" s="22"/>
      <c r="I10" s="36"/>
      <c r="J10" s="22"/>
      <c r="K10" s="36"/>
      <c r="L10" s="36"/>
      <c r="M10" s="22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16"/>
      <c r="AP10" s="36"/>
    </row>
    <row r="11" spans="1:42" s="35" customFormat="1" ht="40.15" customHeight="1" x14ac:dyDescent="0.25">
      <c r="A11" s="79">
        <f t="shared" si="37"/>
        <v>9</v>
      </c>
      <c r="B11" s="28" t="str">
        <f>'[1]EMPRESAS DE SERGIPE'!$B$5</f>
        <v xml:space="preserve">Aquários Praia Hotel </v>
      </c>
      <c r="C11" s="59" t="s">
        <v>45</v>
      </c>
      <c r="D11" s="62" t="str">
        <f>'[1]EMPRESAS DE SERGIPE'!$D$5</f>
        <v>HOTEL</v>
      </c>
      <c r="E11" s="12"/>
      <c r="F11" s="41"/>
      <c r="G11" s="36"/>
      <c r="H11" s="16"/>
      <c r="I11" s="36"/>
      <c r="J11" s="16"/>
      <c r="K11" s="37"/>
      <c r="L11" s="36"/>
      <c r="M11" s="1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</row>
    <row r="12" spans="1:42" s="35" customFormat="1" ht="40.15" customHeight="1" x14ac:dyDescent="0.25">
      <c r="A12" s="79">
        <f t="shared" si="37"/>
        <v>10</v>
      </c>
      <c r="B12" s="28" t="str">
        <f>'[1]EMPRESAS DE SERGIPE'!$B$6</f>
        <v>Arcus Hotel</v>
      </c>
      <c r="C12" s="60" t="s">
        <v>45</v>
      </c>
      <c r="D12" s="62" t="str">
        <f>'[1]EMPRESAS DE SERGIPE'!$D$6</f>
        <v>HOTEL</v>
      </c>
      <c r="E12" s="16"/>
      <c r="F12" s="36"/>
      <c r="G12" s="36"/>
      <c r="H12" s="16"/>
      <c r="I12" s="36"/>
      <c r="J12" s="16"/>
      <c r="K12" s="36"/>
      <c r="L12" s="36"/>
      <c r="M12" s="1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</row>
    <row r="13" spans="1:42" s="35" customFormat="1" ht="40.15" hidden="1" customHeight="1" x14ac:dyDescent="0.25">
      <c r="A13" s="79">
        <f t="shared" si="37"/>
        <v>11</v>
      </c>
      <c r="B13" s="28" t="s">
        <v>56</v>
      </c>
      <c r="C13" s="60" t="s">
        <v>57</v>
      </c>
      <c r="D13" s="62" t="s">
        <v>58</v>
      </c>
      <c r="E13" s="16"/>
      <c r="F13" s="36"/>
      <c r="G13" s="36"/>
      <c r="H13" s="18"/>
      <c r="I13" s="36"/>
      <c r="J13" s="18"/>
      <c r="K13" s="36"/>
      <c r="L13" s="36"/>
      <c r="M13" s="18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</row>
    <row r="14" spans="1:42" s="35" customFormat="1" ht="40.15" customHeight="1" x14ac:dyDescent="0.25">
      <c r="A14" s="79">
        <f t="shared" si="37"/>
        <v>12</v>
      </c>
      <c r="B14" s="28" t="str">
        <f>'[1]EMPRESAS DE SERGIPE'!$B$7</f>
        <v>Aruanã Eco Praia Hotel</v>
      </c>
      <c r="C14" s="60" t="s">
        <v>45</v>
      </c>
      <c r="D14" s="62" t="str">
        <f>'[1]EMPRESAS DE SERGIPE'!$D$7</f>
        <v>HOTEL</v>
      </c>
      <c r="E14" s="12"/>
      <c r="F14" s="41"/>
      <c r="G14" s="36"/>
      <c r="H14" s="16"/>
      <c r="I14" s="36"/>
      <c r="J14" s="16"/>
      <c r="K14" s="37"/>
      <c r="L14" s="36"/>
      <c r="M14" s="1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</row>
    <row r="15" spans="1:42" s="35" customFormat="1" ht="40.15" customHeight="1" x14ac:dyDescent="0.25">
      <c r="A15" s="79">
        <f t="shared" si="37"/>
        <v>13</v>
      </c>
      <c r="B15" s="28" t="str">
        <f>'[1]EMPRESAS DE SERGIPE'!$B$8</f>
        <v>Ases - Associação Sergipana de Supermercados</v>
      </c>
      <c r="C15" s="60" t="s">
        <v>45</v>
      </c>
      <c r="D15" s="62" t="str">
        <f>'[1]EMPRESAS DE SERGIPE'!$D$8</f>
        <v>ASSOCIAÇÃO</v>
      </c>
      <c r="E15" s="16"/>
      <c r="F15" s="36"/>
      <c r="G15" s="36"/>
      <c r="H15" s="16"/>
      <c r="I15" s="36"/>
      <c r="J15" s="16"/>
      <c r="K15" s="36"/>
      <c r="L15" s="36"/>
      <c r="M15" s="12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</row>
    <row r="16" spans="1:42" s="35" customFormat="1" ht="40.15" customHeight="1" x14ac:dyDescent="0.25">
      <c r="A16" s="79">
        <f t="shared" si="37"/>
        <v>14</v>
      </c>
      <c r="B16" s="28" t="str">
        <f>'[1]EMPRESAS DE SERGIPE'!$B$9</f>
        <v>Atalaia Apart Hotel</v>
      </c>
      <c r="C16" s="60" t="s">
        <v>45</v>
      </c>
      <c r="D16" s="62" t="str">
        <f>'[1]EMPRESAS DE SERGIPE'!$D$9</f>
        <v>APART HOTEL</v>
      </c>
      <c r="E16" s="12"/>
      <c r="F16" s="41"/>
      <c r="G16" s="36"/>
      <c r="H16" s="16"/>
      <c r="I16" s="36"/>
      <c r="J16" s="16"/>
      <c r="K16" s="36"/>
      <c r="L16" s="36"/>
      <c r="M16" s="1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1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</row>
    <row r="17" spans="1:42" s="35" customFormat="1" ht="40.15" customHeight="1" x14ac:dyDescent="0.25">
      <c r="A17" s="79">
        <f t="shared" si="37"/>
        <v>15</v>
      </c>
      <c r="B17" s="28" t="str">
        <f>'[1]EMPRESAS DE SERGIPE'!$B$10</f>
        <v>Banco Daycoval</v>
      </c>
      <c r="C17" s="60" t="s">
        <v>45</v>
      </c>
      <c r="D17" s="62" t="str">
        <f>'[1]EMPRESAS DE SERGIPE'!$D$10</f>
        <v>BANCO</v>
      </c>
      <c r="E17" s="16"/>
      <c r="F17" s="40"/>
      <c r="G17" s="36"/>
      <c r="H17" s="17"/>
      <c r="I17" s="37"/>
      <c r="J17" s="17"/>
      <c r="K17" s="36"/>
      <c r="L17" s="36"/>
      <c r="M17" s="17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</row>
    <row r="18" spans="1:42" s="35" customFormat="1" ht="40.15" customHeight="1" x14ac:dyDescent="0.25">
      <c r="A18" s="79">
        <f t="shared" si="37"/>
        <v>16</v>
      </c>
      <c r="B18" s="28" t="str">
        <f>'[1]EMPRESAS DE SERGIPE'!$B$11</f>
        <v>Banco DelBank</v>
      </c>
      <c r="C18" s="60" t="s">
        <v>45</v>
      </c>
      <c r="D18" s="62" t="str">
        <f>'[1]EMPRESAS DE SERGIPE'!$D$11</f>
        <v>BANCO</v>
      </c>
      <c r="E18" s="16"/>
      <c r="F18" s="36"/>
      <c r="G18" s="37"/>
      <c r="H18" s="16"/>
      <c r="I18" s="37"/>
      <c r="J18" s="16"/>
      <c r="K18" s="36"/>
      <c r="L18" s="36"/>
      <c r="M18" s="16"/>
      <c r="N18" s="36"/>
      <c r="O18" s="36"/>
      <c r="P18" s="36"/>
      <c r="Q18" s="36"/>
      <c r="R18" s="36"/>
      <c r="S18" s="36"/>
      <c r="T18" s="36"/>
      <c r="U18" s="37"/>
      <c r="V18" s="37"/>
      <c r="W18" s="37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</row>
    <row r="19" spans="1:42" s="35" customFormat="1" ht="40.15" customHeight="1" x14ac:dyDescent="0.25">
      <c r="A19" s="79">
        <f t="shared" si="37"/>
        <v>17</v>
      </c>
      <c r="B19" s="28" t="str">
        <f>'[1]EMPRESAS DE SERGIPE'!$B$12</f>
        <v>Banco Itaú</v>
      </c>
      <c r="C19" s="60" t="s">
        <v>45</v>
      </c>
      <c r="D19" s="62" t="str">
        <f>'[1]EMPRESAS DE SERGIPE'!$D$12</f>
        <v>BANCO</v>
      </c>
      <c r="E19" s="16"/>
      <c r="F19" s="13"/>
      <c r="G19" s="36"/>
      <c r="H19" s="16"/>
      <c r="I19" s="37"/>
      <c r="J19" s="16"/>
      <c r="K19" s="36"/>
      <c r="L19" s="36"/>
      <c r="M19" s="1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</row>
    <row r="20" spans="1:42" s="35" customFormat="1" ht="40.15" customHeight="1" x14ac:dyDescent="0.25">
      <c r="A20" s="79">
        <f t="shared" si="37"/>
        <v>18</v>
      </c>
      <c r="B20" s="28" t="str">
        <f>'[1]EMPRESAS DE SERGIPE'!$B$13</f>
        <v>Banco Santander</v>
      </c>
      <c r="C20" s="60" t="s">
        <v>45</v>
      </c>
      <c r="D20" s="62" t="str">
        <f>'[1]EMPRESAS DE SERGIPE'!$D$13</f>
        <v>BANCO</v>
      </c>
      <c r="E20" s="16"/>
      <c r="F20" s="37"/>
      <c r="G20" s="36"/>
      <c r="H20" s="16"/>
      <c r="I20" s="37"/>
      <c r="J20" s="36"/>
      <c r="K20" s="36"/>
      <c r="L20" s="36"/>
      <c r="M20" s="1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</row>
    <row r="21" spans="1:42" s="35" customFormat="1" ht="40.15" customHeight="1" x14ac:dyDescent="0.25">
      <c r="A21" s="79">
        <f t="shared" si="37"/>
        <v>19</v>
      </c>
      <c r="B21" s="28" t="str">
        <f>'[1]EMPRESAS DE SERGIPE'!$B$14</f>
        <v>Banco Sicoob</v>
      </c>
      <c r="C21" s="60" t="s">
        <v>45</v>
      </c>
      <c r="D21" s="62" t="str">
        <f>'[1]EMPRESAS DE SERGIPE'!$D$14</f>
        <v>BANCO</v>
      </c>
      <c r="E21" s="16"/>
      <c r="F21" s="40"/>
      <c r="G21" s="36"/>
      <c r="H21" s="16"/>
      <c r="I21" s="37"/>
      <c r="J21" s="16"/>
      <c r="K21" s="36"/>
      <c r="L21" s="36"/>
      <c r="M21" s="1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</row>
    <row r="22" spans="1:42" s="35" customFormat="1" ht="40.15" customHeight="1" x14ac:dyDescent="0.25">
      <c r="A22" s="79">
        <f t="shared" si="37"/>
        <v>20</v>
      </c>
      <c r="B22" s="28" t="str">
        <f>'[1]EMPRESAS DE SERGIPE'!$B$15</f>
        <v xml:space="preserve">Banco Sicredi </v>
      </c>
      <c r="C22" s="60" t="s">
        <v>45</v>
      </c>
      <c r="D22" s="62" t="str">
        <f>'[1]EMPRESAS DE SERGIPE'!$D$15</f>
        <v>BANCO</v>
      </c>
      <c r="E22" s="16"/>
      <c r="F22" s="36"/>
      <c r="G22" s="36"/>
      <c r="H22" s="36"/>
      <c r="I22" s="37"/>
      <c r="J22" s="36"/>
      <c r="K22" s="36"/>
      <c r="L22" s="36"/>
      <c r="M22" s="16"/>
      <c r="N22" s="36"/>
      <c r="O22" s="36"/>
      <c r="P22" s="36"/>
      <c r="Q22" s="36"/>
      <c r="R22" s="36"/>
      <c r="S22" s="36"/>
      <c r="T22" s="36"/>
      <c r="U22" s="37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16"/>
      <c r="AG22" s="36"/>
      <c r="AH22" s="36"/>
      <c r="AI22" s="36"/>
      <c r="AJ22" s="36"/>
      <c r="AK22" s="36"/>
      <c r="AL22" s="36"/>
      <c r="AM22" s="36"/>
      <c r="AN22" s="36"/>
      <c r="AO22" s="36"/>
      <c r="AP22" s="36"/>
    </row>
    <row r="23" spans="1:42" s="35" customFormat="1" ht="40.15" hidden="1" customHeight="1" x14ac:dyDescent="0.25">
      <c r="A23" s="79">
        <f t="shared" si="37"/>
        <v>21</v>
      </c>
      <c r="B23" s="27" t="s">
        <v>59</v>
      </c>
      <c r="C23" s="60" t="s">
        <v>47</v>
      </c>
      <c r="D23" s="63" t="s">
        <v>60</v>
      </c>
      <c r="E23" s="16"/>
      <c r="F23" s="36"/>
      <c r="G23" s="36"/>
      <c r="H23" s="36"/>
      <c r="I23" s="37"/>
      <c r="J23" s="36"/>
      <c r="K23" s="36"/>
      <c r="L23" s="36"/>
      <c r="M23" s="16"/>
      <c r="N23" s="36"/>
      <c r="O23" s="36"/>
      <c r="P23" s="36"/>
      <c r="Q23" s="36"/>
      <c r="R23" s="36"/>
      <c r="S23" s="36"/>
      <c r="T23" s="36"/>
      <c r="U23" s="37"/>
      <c r="V23" s="37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spans="1:42" s="35" customFormat="1" ht="40.15" customHeight="1" x14ac:dyDescent="0.25">
      <c r="A24" s="79">
        <f t="shared" si="37"/>
        <v>22</v>
      </c>
      <c r="B24" s="14" t="s">
        <v>61</v>
      </c>
      <c r="C24" s="59" t="s">
        <v>45</v>
      </c>
      <c r="D24" s="63" t="s">
        <v>62</v>
      </c>
      <c r="E24" s="16"/>
      <c r="F24" s="36"/>
      <c r="G24" s="37"/>
      <c r="H24" s="16"/>
      <c r="I24" s="41"/>
      <c r="J24" s="16"/>
      <c r="K24" s="36"/>
      <c r="L24" s="36"/>
      <c r="M24" s="16"/>
      <c r="N24" s="36"/>
      <c r="O24" s="36"/>
      <c r="P24" s="36"/>
      <c r="Q24" s="36"/>
      <c r="R24" s="36"/>
      <c r="S24" s="36"/>
      <c r="T24" s="36"/>
      <c r="U24" s="36"/>
      <c r="V24" s="36"/>
      <c r="W24" s="37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</row>
    <row r="25" spans="1:42" s="35" customFormat="1" ht="40.15" hidden="1" customHeight="1" x14ac:dyDescent="0.25">
      <c r="A25" s="79">
        <f t="shared" si="37"/>
        <v>23</v>
      </c>
      <c r="B25" s="28" t="s">
        <v>63</v>
      </c>
      <c r="C25" s="60" t="s">
        <v>43</v>
      </c>
      <c r="D25" s="62" t="s">
        <v>64</v>
      </c>
      <c r="E25" s="16"/>
      <c r="F25" s="36"/>
      <c r="G25" s="36"/>
      <c r="H25" s="16"/>
      <c r="I25" s="36"/>
      <c r="J25" s="16"/>
      <c r="K25" s="36"/>
      <c r="L25" s="36"/>
      <c r="M25" s="1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</row>
    <row r="26" spans="1:42" s="35" customFormat="1" ht="40.15" hidden="1" customHeight="1" x14ac:dyDescent="0.25">
      <c r="A26" s="79">
        <f t="shared" si="37"/>
        <v>24</v>
      </c>
      <c r="B26" s="27" t="s">
        <v>65</v>
      </c>
      <c r="C26" s="60" t="s">
        <v>43</v>
      </c>
      <c r="D26" s="63" t="s">
        <v>66</v>
      </c>
      <c r="E26" s="16"/>
      <c r="F26" s="36"/>
      <c r="G26" s="36"/>
      <c r="H26" s="16"/>
      <c r="I26" s="36"/>
      <c r="J26" s="16"/>
      <c r="K26" s="36"/>
      <c r="L26" s="36"/>
      <c r="M26" s="16"/>
      <c r="N26" s="36"/>
      <c r="O26" s="36"/>
      <c r="P26" s="36"/>
      <c r="Q26" s="36"/>
      <c r="R26" s="36"/>
      <c r="S26" s="36"/>
      <c r="T26" s="36"/>
      <c r="U26" s="38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</row>
    <row r="27" spans="1:42" s="35" customFormat="1" ht="40.15" customHeight="1" x14ac:dyDescent="0.25">
      <c r="A27" s="79">
        <f t="shared" si="37"/>
        <v>25</v>
      </c>
      <c r="B27" s="81" t="s">
        <v>67</v>
      </c>
      <c r="C27" s="59" t="s">
        <v>45</v>
      </c>
      <c r="D27" s="63" t="s">
        <v>68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84"/>
    </row>
    <row r="28" spans="1:42" s="35" customFormat="1" ht="40.15" customHeight="1" x14ac:dyDescent="0.25">
      <c r="A28" s="79">
        <f t="shared" si="37"/>
        <v>26</v>
      </c>
      <c r="B28" s="17" t="s">
        <v>69</v>
      </c>
      <c r="C28" s="59" t="s">
        <v>45</v>
      </c>
      <c r="D28" s="63" t="s">
        <v>52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</row>
    <row r="29" spans="1:42" s="35" customFormat="1" ht="40.15" hidden="1" customHeight="1" x14ac:dyDescent="0.25">
      <c r="A29" s="79">
        <f t="shared" si="37"/>
        <v>27</v>
      </c>
      <c r="B29" s="28" t="s">
        <v>70</v>
      </c>
      <c r="C29" s="60" t="s">
        <v>47</v>
      </c>
      <c r="D29" s="62" t="s">
        <v>58</v>
      </c>
      <c r="E29" s="16"/>
      <c r="F29" s="36"/>
      <c r="G29" s="36"/>
      <c r="H29" s="16"/>
      <c r="I29" s="36"/>
      <c r="J29" s="16"/>
      <c r="K29" s="36"/>
      <c r="L29" s="36"/>
      <c r="M29" s="1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</row>
    <row r="30" spans="1:42" s="35" customFormat="1" ht="40.15" hidden="1" customHeight="1" x14ac:dyDescent="0.25">
      <c r="A30" s="79">
        <f t="shared" si="37"/>
        <v>28</v>
      </c>
      <c r="B30" s="28" t="s">
        <v>71</v>
      </c>
      <c r="C30" s="60" t="s">
        <v>47</v>
      </c>
      <c r="D30" s="62" t="s">
        <v>58</v>
      </c>
      <c r="E30" s="16"/>
      <c r="F30" s="36"/>
      <c r="G30" s="36"/>
      <c r="H30" s="16"/>
      <c r="I30" s="36"/>
      <c r="J30" s="16"/>
      <c r="K30" s="36"/>
      <c r="L30" s="36"/>
      <c r="M30" s="1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</row>
    <row r="31" spans="1:42" s="35" customFormat="1" ht="40.15" hidden="1" customHeight="1" x14ac:dyDescent="0.25">
      <c r="A31" s="79">
        <f t="shared" si="37"/>
        <v>29</v>
      </c>
      <c r="B31" s="28" t="s">
        <v>72</v>
      </c>
      <c r="C31" s="60" t="s">
        <v>73</v>
      </c>
      <c r="D31" s="62" t="s">
        <v>74</v>
      </c>
      <c r="E31" s="16"/>
      <c r="F31" s="36"/>
      <c r="G31" s="36"/>
      <c r="H31" s="19"/>
      <c r="I31" s="36"/>
      <c r="J31" s="19"/>
      <c r="K31" s="36"/>
      <c r="L31" s="36"/>
      <c r="M31" s="19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</row>
    <row r="32" spans="1:42" s="35" customFormat="1" ht="40.15" hidden="1" customHeight="1" x14ac:dyDescent="0.25">
      <c r="A32" s="79">
        <f t="shared" si="37"/>
        <v>30</v>
      </c>
      <c r="B32" s="28" t="s">
        <v>75</v>
      </c>
      <c r="C32" s="60" t="s">
        <v>47</v>
      </c>
      <c r="D32" s="62" t="s">
        <v>76</v>
      </c>
      <c r="E32" s="16"/>
      <c r="F32" s="36"/>
      <c r="G32" s="36"/>
      <c r="H32" s="16"/>
      <c r="I32" s="36"/>
      <c r="J32" s="16"/>
      <c r="K32" s="36"/>
      <c r="L32" s="36"/>
      <c r="M32" s="1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</row>
    <row r="33" spans="1:42" s="35" customFormat="1" ht="40.15" customHeight="1" x14ac:dyDescent="0.25">
      <c r="A33" s="79">
        <f t="shared" si="37"/>
        <v>31</v>
      </c>
      <c r="B33" s="28" t="str">
        <f>'[1]EMPRESAS DE SERGIPE'!$B$16</f>
        <v>BTS Ambiental</v>
      </c>
      <c r="C33" s="60" t="s">
        <v>45</v>
      </c>
      <c r="D33" s="62" t="str">
        <f>'[1]EMPRESAS DE SERGIPE'!$D$16</f>
        <v>PRESTADORA DE SERVIÇOS URBANOS</v>
      </c>
      <c r="E33" s="16"/>
      <c r="F33" s="37"/>
      <c r="G33" s="36"/>
      <c r="H33" s="16"/>
      <c r="I33" s="36"/>
      <c r="J33" s="16"/>
      <c r="K33" s="36"/>
      <c r="L33" s="36"/>
      <c r="M33" s="16"/>
      <c r="N33" s="36"/>
      <c r="O33" s="36"/>
      <c r="P33" s="36"/>
      <c r="Q33" s="36"/>
      <c r="R33" s="36"/>
      <c r="S33" s="37"/>
      <c r="T33" s="36"/>
      <c r="U33" s="37"/>
      <c r="V33" s="36"/>
      <c r="W33" s="37"/>
      <c r="X33" s="36"/>
      <c r="Y33" s="36"/>
      <c r="Z33" s="36"/>
      <c r="AA33" s="36"/>
      <c r="AB33" s="36"/>
      <c r="AC33" s="36"/>
      <c r="AD33" s="36"/>
      <c r="AE33" s="36"/>
      <c r="AF33" s="37"/>
      <c r="AG33" s="36"/>
      <c r="AH33" s="36"/>
      <c r="AI33" s="36"/>
      <c r="AJ33" s="36"/>
      <c r="AK33" s="36"/>
      <c r="AL33" s="36"/>
      <c r="AM33" s="36"/>
      <c r="AN33" s="36"/>
      <c r="AO33" s="37"/>
      <c r="AP33" s="36"/>
    </row>
    <row r="34" spans="1:42" s="35" customFormat="1" ht="40.15" customHeight="1" x14ac:dyDescent="0.25">
      <c r="A34" s="79">
        <f t="shared" si="37"/>
        <v>32</v>
      </c>
      <c r="B34" s="28" t="str">
        <f>'[1]EMPRESAS DE SERGIPE'!$B$17</f>
        <v>Camel Empreendimentos e Construções</v>
      </c>
      <c r="C34" s="60" t="s">
        <v>45</v>
      </c>
      <c r="D34" s="62" t="str">
        <f>'[1]EMPRESAS DE SERGIPE'!$D$17</f>
        <v>CONSTRUTORA</v>
      </c>
      <c r="E34" s="12"/>
      <c r="F34" s="37"/>
      <c r="G34" s="36"/>
      <c r="H34" s="13"/>
      <c r="I34" s="36"/>
      <c r="J34" s="13"/>
      <c r="K34" s="36"/>
      <c r="L34" s="36"/>
      <c r="M34" s="1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7"/>
      <c r="AA34" s="36"/>
      <c r="AB34" s="36"/>
      <c r="AC34" s="36"/>
      <c r="AD34" s="36"/>
      <c r="AE34" s="36"/>
      <c r="AF34" s="37"/>
      <c r="AG34" s="36"/>
      <c r="AH34" s="36"/>
      <c r="AI34" s="36"/>
      <c r="AJ34" s="36"/>
      <c r="AK34" s="36"/>
      <c r="AL34" s="36"/>
      <c r="AM34" s="36"/>
      <c r="AN34" s="36"/>
      <c r="AO34" s="37"/>
      <c r="AP34" s="36"/>
    </row>
    <row r="35" spans="1:42" s="35" customFormat="1" ht="40.15" customHeight="1" x14ac:dyDescent="0.25">
      <c r="A35" s="79">
        <f t="shared" si="37"/>
        <v>33</v>
      </c>
      <c r="B35" s="28" t="str">
        <f>'[1]EMPRESAS DE SERGIPE'!$B$18</f>
        <v>Carmo Energy</v>
      </c>
      <c r="C35" s="60" t="s">
        <v>45</v>
      </c>
      <c r="D35" s="62" t="str">
        <f>'[1]EMPRESAS DE SERGIPE'!$D$18</f>
        <v>INDUSTRIA DE ENERGIA</v>
      </c>
      <c r="E35" s="37"/>
      <c r="F35" s="36"/>
      <c r="G35" s="36"/>
      <c r="H35" s="16"/>
      <c r="I35" s="36"/>
      <c r="J35" s="16"/>
      <c r="K35" s="36"/>
      <c r="L35" s="36"/>
      <c r="M35" s="16"/>
      <c r="N35" s="36"/>
      <c r="O35" s="36"/>
      <c r="P35" s="37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</row>
    <row r="36" spans="1:42" s="35" customFormat="1" ht="40.15" customHeight="1" x14ac:dyDescent="0.25">
      <c r="A36" s="79">
        <f t="shared" si="37"/>
        <v>34</v>
      </c>
      <c r="B36" s="28" t="str">
        <f>'[1]EMPRESAS DE SERGIPE'!$B$19</f>
        <v>Carmo Energy RH</v>
      </c>
      <c r="C36" s="60" t="s">
        <v>45</v>
      </c>
      <c r="D36" s="62" t="str">
        <f>'[1]EMPRESAS DE SERGIPE'!$D$19</f>
        <v>INDUSTRIA DE ENERGIA</v>
      </c>
      <c r="E36" s="37"/>
      <c r="F36" s="37"/>
      <c r="G36" s="36"/>
      <c r="H36" s="18"/>
      <c r="I36" s="36"/>
      <c r="J36" s="18"/>
      <c r="K36" s="36"/>
      <c r="L36" s="36"/>
      <c r="M36" s="18"/>
      <c r="N36" s="36"/>
      <c r="O36" s="36"/>
      <c r="P36" s="37"/>
      <c r="Q36" s="36"/>
      <c r="R36" s="36"/>
      <c r="S36" s="36"/>
      <c r="T36" s="37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  <c r="AG36" s="36"/>
      <c r="AH36" s="36"/>
      <c r="AI36" s="36"/>
      <c r="AJ36" s="36"/>
      <c r="AK36" s="36"/>
      <c r="AL36" s="36"/>
      <c r="AM36" s="36"/>
      <c r="AN36" s="36"/>
      <c r="AO36" s="36"/>
      <c r="AP36" s="36"/>
    </row>
    <row r="37" spans="1:42" s="35" customFormat="1" ht="40.15" customHeight="1" x14ac:dyDescent="0.25">
      <c r="A37" s="79">
        <f t="shared" si="37"/>
        <v>35</v>
      </c>
      <c r="B37" s="28" t="str">
        <f>'[1]EMPRESAS DE SERGIPE'!$B$20</f>
        <v>Casa Esportiva</v>
      </c>
      <c r="C37" s="60" t="s">
        <v>45</v>
      </c>
      <c r="D37" s="62" t="str">
        <f>'[1]EMPRESAS DE SERGIPE'!$D$20</f>
        <v>LOJA</v>
      </c>
      <c r="E37" s="16"/>
      <c r="F37" s="36"/>
      <c r="G37" s="36"/>
      <c r="H37" s="16"/>
      <c r="I37" s="36"/>
      <c r="J37" s="16"/>
      <c r="K37" s="36"/>
      <c r="L37" s="36"/>
      <c r="M37" s="1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</row>
    <row r="38" spans="1:42" s="35" customFormat="1" ht="40.15" customHeight="1" x14ac:dyDescent="0.25">
      <c r="A38" s="79">
        <f t="shared" si="37"/>
        <v>36</v>
      </c>
      <c r="B38" s="28" t="str">
        <f>'[1]EMPRESAS DE SERGIPE'!$B$21</f>
        <v xml:space="preserve">Casa Mais Móveis </v>
      </c>
      <c r="C38" s="60" t="s">
        <v>45</v>
      </c>
      <c r="D38" s="62" t="str">
        <f>'[1]EMPRESAS DE SERGIPE'!$D$21</f>
        <v>LOJA</v>
      </c>
      <c r="E38" s="16"/>
      <c r="F38" s="36"/>
      <c r="G38" s="36"/>
      <c r="H38" s="16"/>
      <c r="I38" s="36"/>
      <c r="J38" s="16"/>
      <c r="K38" s="36"/>
      <c r="L38" s="36"/>
      <c r="M38" s="16"/>
      <c r="N38" s="36"/>
      <c r="O38" s="36"/>
      <c r="P38" s="36"/>
      <c r="Q38" s="36"/>
      <c r="R38" s="36"/>
      <c r="S38" s="36"/>
      <c r="T38" s="36"/>
      <c r="U38" s="37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</row>
    <row r="39" spans="1:42" s="35" customFormat="1" ht="40.15" hidden="1" customHeight="1" x14ac:dyDescent="0.25">
      <c r="A39" s="79">
        <f t="shared" si="37"/>
        <v>37</v>
      </c>
      <c r="B39" s="27" t="s">
        <v>77</v>
      </c>
      <c r="C39" s="60" t="s">
        <v>47</v>
      </c>
      <c r="D39" s="63" t="s">
        <v>78</v>
      </c>
      <c r="E39" s="16"/>
      <c r="F39" s="36"/>
      <c r="G39" s="36"/>
      <c r="H39" s="18"/>
      <c r="I39" s="36"/>
      <c r="J39" s="18"/>
      <c r="K39" s="36"/>
      <c r="L39" s="36"/>
      <c r="M39" s="18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16"/>
      <c r="AN39" s="36"/>
      <c r="AO39" s="36"/>
      <c r="AP39" s="36"/>
    </row>
    <row r="40" spans="1:42" s="35" customFormat="1" ht="40.15" customHeight="1" x14ac:dyDescent="0.25">
      <c r="A40" s="79">
        <f t="shared" si="37"/>
        <v>38</v>
      </c>
      <c r="B40" s="28" t="str">
        <f>'[1]EMPRESAS DE SERGIPE'!$B$22</f>
        <v>Celi Hotel Aracaju</v>
      </c>
      <c r="C40" s="60" t="s">
        <v>45</v>
      </c>
      <c r="D40" s="62" t="str">
        <f>'[1]EMPRESAS DE SERGIPE'!$D$22</f>
        <v>HOTEL</v>
      </c>
      <c r="E40" s="16"/>
      <c r="F40" s="36"/>
      <c r="G40" s="36"/>
      <c r="H40" s="18"/>
      <c r="I40" s="36"/>
      <c r="J40" s="18"/>
      <c r="K40" s="37"/>
      <c r="L40" s="36"/>
      <c r="M40" s="18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</row>
    <row r="41" spans="1:42" s="35" customFormat="1" ht="40.15" customHeight="1" x14ac:dyDescent="0.25">
      <c r="A41" s="79">
        <f t="shared" si="37"/>
        <v>39</v>
      </c>
      <c r="B41" s="28" t="str">
        <f>'[1]EMPRESAS DE SERGIPE'!$B$23</f>
        <v xml:space="preserve">Celi Mall Decor  </v>
      </c>
      <c r="C41" s="60" t="s">
        <v>45</v>
      </c>
      <c r="D41" s="62" t="str">
        <f>'[1]EMPRESAS DE SERGIPE'!$D$23</f>
        <v>LOJA</v>
      </c>
      <c r="E41" s="16"/>
      <c r="F41" s="36"/>
      <c r="G41" s="36"/>
      <c r="H41" s="18"/>
      <c r="I41" s="36"/>
      <c r="J41" s="18"/>
      <c r="K41" s="36"/>
      <c r="L41" s="36"/>
      <c r="M41" s="18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</row>
    <row r="42" spans="1:42" s="35" customFormat="1" ht="40.15" customHeight="1" x14ac:dyDescent="0.25">
      <c r="A42" s="79">
        <f t="shared" si="37"/>
        <v>40</v>
      </c>
      <c r="B42" s="28" t="str">
        <f>'[1]EMPRESAS DE SERGIPE'!$B$24</f>
        <v>Cemise - Centro de Medicina Integrada de Sergipe</v>
      </c>
      <c r="C42" s="60" t="s">
        <v>45</v>
      </c>
      <c r="D42" s="62" t="str">
        <f>'[1]EMPRESAS DE SERGIPE'!$D$24</f>
        <v>CLINICA</v>
      </c>
      <c r="E42" s="16"/>
      <c r="F42" s="36"/>
      <c r="G42" s="36"/>
      <c r="H42" s="16"/>
      <c r="I42" s="36"/>
      <c r="J42" s="16"/>
      <c r="K42" s="36"/>
      <c r="L42" s="36"/>
      <c r="M42" s="16"/>
      <c r="N42" s="36"/>
      <c r="O42" s="37"/>
      <c r="P42" s="36"/>
      <c r="Q42" s="37"/>
      <c r="R42" s="36"/>
      <c r="S42" s="36"/>
      <c r="T42" s="36"/>
      <c r="U42" s="36"/>
      <c r="V42" s="36"/>
      <c r="W42" s="36"/>
      <c r="X42" s="37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</row>
    <row r="43" spans="1:42" s="35" customFormat="1" ht="40.15" hidden="1" customHeight="1" x14ac:dyDescent="0.25">
      <c r="A43" s="79">
        <f t="shared" si="37"/>
        <v>41</v>
      </c>
      <c r="B43" s="27" t="s">
        <v>79</v>
      </c>
      <c r="C43" s="60" t="s">
        <v>47</v>
      </c>
      <c r="D43" s="63" t="s">
        <v>78</v>
      </c>
      <c r="E43" s="16"/>
      <c r="F43" s="36"/>
      <c r="G43" s="36"/>
      <c r="H43" s="16"/>
      <c r="I43" s="36"/>
      <c r="J43" s="16"/>
      <c r="K43" s="36"/>
      <c r="L43" s="36"/>
      <c r="M43" s="1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</row>
    <row r="44" spans="1:42" s="35" customFormat="1" ht="40.15" customHeight="1" x14ac:dyDescent="0.25">
      <c r="A44" s="79">
        <f t="shared" si="37"/>
        <v>42</v>
      </c>
      <c r="B44" s="28" t="str">
        <f>'[1]EMPRESAS DE SERGIPE'!$B$25</f>
        <v>Cenutri - Clinica Especializada de Nutrição Ltda</v>
      </c>
      <c r="C44" s="60" t="s">
        <v>45</v>
      </c>
      <c r="D44" s="62" t="s">
        <v>80</v>
      </c>
      <c r="E44" s="16"/>
      <c r="F44" s="36"/>
      <c r="G44" s="36"/>
      <c r="H44" s="12"/>
      <c r="I44" s="37"/>
      <c r="J44" s="16"/>
      <c r="K44" s="36"/>
      <c r="L44" s="36"/>
      <c r="M44" s="16"/>
      <c r="N44" s="36"/>
      <c r="O44" s="36"/>
      <c r="P44" s="36"/>
      <c r="Q44" s="37"/>
      <c r="R44" s="36"/>
      <c r="S44" s="36"/>
      <c r="T44" s="36"/>
      <c r="U44" s="36"/>
      <c r="V44" s="36"/>
      <c r="W44" s="36"/>
      <c r="X44" s="37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7"/>
      <c r="AM44" s="37"/>
      <c r="AN44" s="37"/>
      <c r="AO44" s="36"/>
      <c r="AP44" s="36"/>
    </row>
    <row r="45" spans="1:42" s="35" customFormat="1" ht="40.15" customHeight="1" x14ac:dyDescent="0.25">
      <c r="A45" s="79">
        <f t="shared" si="37"/>
        <v>43</v>
      </c>
      <c r="B45" s="28" t="str">
        <f>'[1]EMPRESAS DE SERGIPE'!$B$26</f>
        <v>Ceramica Serra Azul</v>
      </c>
      <c r="C45" s="60" t="s">
        <v>45</v>
      </c>
      <c r="D45" s="62" t="s">
        <v>81</v>
      </c>
      <c r="E45" s="16"/>
      <c r="F45" s="36"/>
      <c r="G45" s="36"/>
      <c r="H45" s="16"/>
      <c r="I45" s="36"/>
      <c r="J45" s="16"/>
      <c r="K45" s="36"/>
      <c r="L45" s="36"/>
      <c r="M45" s="1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7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s="35" customFormat="1" ht="40.15" hidden="1" customHeight="1" x14ac:dyDescent="0.25">
      <c r="A46" s="79">
        <f t="shared" si="37"/>
        <v>44</v>
      </c>
      <c r="B46" s="28" t="s">
        <v>82</v>
      </c>
      <c r="C46" s="60" t="s">
        <v>73</v>
      </c>
      <c r="D46" s="62" t="s">
        <v>83</v>
      </c>
      <c r="E46" s="16"/>
      <c r="F46" s="36"/>
      <c r="G46" s="36"/>
      <c r="H46" s="16"/>
      <c r="I46" s="36"/>
      <c r="J46" s="16"/>
      <c r="K46" s="36"/>
      <c r="L46" s="36"/>
      <c r="M46" s="1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</row>
    <row r="47" spans="1:42" s="35" customFormat="1" ht="40.15" customHeight="1" x14ac:dyDescent="0.25">
      <c r="A47" s="79">
        <f t="shared" si="37"/>
        <v>45</v>
      </c>
      <c r="B47" s="28" t="str">
        <f>'[1]EMPRESAS DE SERGIPE'!$B$27</f>
        <v>Cia da Formula</v>
      </c>
      <c r="C47" s="60" t="s">
        <v>45</v>
      </c>
      <c r="D47" s="62" t="str">
        <f>'[1]EMPRESAS DE SERGIPE'!$D$27</f>
        <v>FÁRMACIA DE MANUPULAÇÃO</v>
      </c>
      <c r="E47" s="16"/>
      <c r="F47" s="36"/>
      <c r="G47" s="36"/>
      <c r="H47" s="18"/>
      <c r="I47" s="36"/>
      <c r="J47" s="18"/>
      <c r="K47" s="36"/>
      <c r="L47" s="36"/>
      <c r="M47" s="18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</row>
    <row r="48" spans="1:42" s="35" customFormat="1" ht="40.15" customHeight="1" x14ac:dyDescent="0.25">
      <c r="A48" s="79">
        <f t="shared" si="37"/>
        <v>46</v>
      </c>
      <c r="B48" s="81" t="s">
        <v>84</v>
      </c>
      <c r="C48" s="59" t="s">
        <v>45</v>
      </c>
      <c r="D48" s="63" t="s">
        <v>68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84"/>
    </row>
    <row r="49" spans="1:42" s="35" customFormat="1" ht="40.15" customHeight="1" x14ac:dyDescent="0.25">
      <c r="A49" s="79">
        <f t="shared" si="37"/>
        <v>47</v>
      </c>
      <c r="B49" s="28" t="str">
        <f>'[1]EMPRESAS DE SERGIPE'!$B$28</f>
        <v>Clinica de Repouso São Marcelo</v>
      </c>
      <c r="C49" s="60" t="s">
        <v>45</v>
      </c>
      <c r="D49" s="62" t="str">
        <f>'[1]EMPRESAS DE SERGIPE'!$D$28</f>
        <v>CLINICA</v>
      </c>
      <c r="E49" s="12"/>
      <c r="F49" s="41"/>
      <c r="G49" s="36"/>
      <c r="H49" s="24"/>
      <c r="I49" s="36"/>
      <c r="J49" s="18"/>
      <c r="K49" s="36"/>
      <c r="L49" s="36"/>
      <c r="M49" s="18"/>
      <c r="N49" s="36"/>
      <c r="O49" s="36"/>
      <c r="P49" s="36"/>
      <c r="Q49" s="36"/>
      <c r="R49" s="36"/>
      <c r="S49" s="36"/>
      <c r="T49" s="36"/>
      <c r="U49" s="36"/>
      <c r="V49" s="36"/>
      <c r="W49" s="37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7"/>
      <c r="AO49" s="36"/>
      <c r="AP49" s="36"/>
    </row>
    <row r="50" spans="1:42" s="35" customFormat="1" ht="40.15" customHeight="1" x14ac:dyDescent="0.25">
      <c r="A50" s="79">
        <f t="shared" si="37"/>
        <v>48</v>
      </c>
      <c r="B50" s="28" t="str">
        <f>'[1]EMPRESAS DE SERGIPE'!$B$29</f>
        <v>Clinica Endogastro - Endoscopia, Colonoscopia e Ultrasonografia Aracaju</v>
      </c>
      <c r="C50" s="60" t="s">
        <v>45</v>
      </c>
      <c r="D50" s="62" t="str">
        <f>'[1]EMPRESAS DE SERGIPE'!$D$29</f>
        <v>CLINICA</v>
      </c>
      <c r="E50" s="16"/>
      <c r="F50" s="36"/>
      <c r="G50" s="36"/>
      <c r="H50" s="16"/>
      <c r="I50" s="36"/>
      <c r="J50" s="16"/>
      <c r="K50" s="36"/>
      <c r="L50" s="36"/>
      <c r="M50" s="1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7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</row>
    <row r="51" spans="1:42" s="35" customFormat="1" ht="40.15" customHeight="1" x14ac:dyDescent="0.25">
      <c r="A51" s="79">
        <f t="shared" si="37"/>
        <v>49</v>
      </c>
      <c r="B51" s="28" t="str">
        <f>'[1]EMPRESAS DE SERGIPE'!$B$30</f>
        <v>Clinica São Camilo</v>
      </c>
      <c r="C51" s="60" t="s">
        <v>45</v>
      </c>
      <c r="D51" s="62" t="str">
        <f>'[1]EMPRESAS DE SERGIPE'!$D$30</f>
        <v>CLINICA</v>
      </c>
      <c r="E51" s="16"/>
      <c r="F51" s="36"/>
      <c r="G51" s="36"/>
      <c r="H51" s="18"/>
      <c r="I51" s="36"/>
      <c r="J51" s="18"/>
      <c r="K51" s="36"/>
      <c r="L51" s="36"/>
      <c r="M51" s="18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7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s="35" customFormat="1" ht="40.15" customHeight="1" x14ac:dyDescent="0.25">
      <c r="A52" s="79">
        <f t="shared" si="37"/>
        <v>50</v>
      </c>
      <c r="B52" s="28" t="str">
        <f>'[1]EMPRESAS DE SERGIPE'!$B$31</f>
        <v>Clinradi - Radiografia e Imagem</v>
      </c>
      <c r="C52" s="60" t="s">
        <v>45</v>
      </c>
      <c r="D52" s="62" t="str">
        <f>'[1]EMPRESAS DE SERGIPE'!$D$31</f>
        <v>CLINICA</v>
      </c>
      <c r="E52" s="16"/>
      <c r="F52" s="36"/>
      <c r="G52" s="36"/>
      <c r="H52" s="23"/>
      <c r="I52" s="36"/>
      <c r="J52" s="16"/>
      <c r="K52" s="36"/>
      <c r="L52" s="36"/>
      <c r="M52" s="1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7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7"/>
      <c r="AO52" s="37"/>
      <c r="AP52" s="36"/>
    </row>
    <row r="53" spans="1:42" s="35" customFormat="1" ht="40.15" customHeight="1" x14ac:dyDescent="0.25">
      <c r="A53" s="79">
        <f t="shared" si="37"/>
        <v>51</v>
      </c>
      <c r="B53" s="28" t="str">
        <f>'[1]EMPRESAS DE SERGIPE'!$B$32</f>
        <v xml:space="preserve">Cohab Premium Imobiliaria </v>
      </c>
      <c r="C53" s="60" t="s">
        <v>45</v>
      </c>
      <c r="D53" s="62" t="str">
        <f>'[1]EMPRESAS DE SERGIPE'!$D$32</f>
        <v>IMOBILIARIA</v>
      </c>
      <c r="E53" s="12"/>
      <c r="F53" s="36"/>
      <c r="G53" s="36"/>
      <c r="H53" s="18"/>
      <c r="I53" s="37"/>
      <c r="J53" s="18"/>
      <c r="K53" s="36"/>
      <c r="L53" s="36"/>
      <c r="M53" s="18"/>
      <c r="N53" s="36"/>
      <c r="O53" s="36"/>
      <c r="P53" s="36"/>
      <c r="Q53" s="36"/>
      <c r="R53" s="36"/>
      <c r="S53" s="37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</row>
    <row r="54" spans="1:42" s="35" customFormat="1" ht="40.15" customHeight="1" x14ac:dyDescent="0.25">
      <c r="A54" s="79">
        <f t="shared" si="37"/>
        <v>52</v>
      </c>
      <c r="B54" s="81" t="s">
        <v>85</v>
      </c>
      <c r="C54" s="59" t="s">
        <v>45</v>
      </c>
      <c r="D54" s="63" t="s">
        <v>86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84"/>
    </row>
    <row r="55" spans="1:42" s="35" customFormat="1" ht="40.15" customHeight="1" x14ac:dyDescent="0.25">
      <c r="A55" s="79">
        <f t="shared" si="37"/>
        <v>53</v>
      </c>
      <c r="B55" s="30" t="str">
        <f>'[1]EMPRESAS DE SERGIPE'!$B$33</f>
        <v>Colégio Amadeus</v>
      </c>
      <c r="C55" s="60" t="s">
        <v>45</v>
      </c>
      <c r="D55" s="72" t="str">
        <f>'[1]EMPRESAS DE SERGIPE'!$D$33</f>
        <v>COLÉGIO</v>
      </c>
      <c r="E55" s="16"/>
      <c r="F55" s="37"/>
      <c r="G55" s="36"/>
      <c r="H55" s="18"/>
      <c r="I55" s="37"/>
      <c r="J55" s="18"/>
      <c r="K55" s="36"/>
      <c r="L55" s="36"/>
      <c r="M55" s="18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</row>
    <row r="56" spans="1:42" s="35" customFormat="1" ht="40.15" customHeight="1" x14ac:dyDescent="0.25">
      <c r="A56" s="79">
        <f t="shared" si="37"/>
        <v>54</v>
      </c>
      <c r="B56" s="30" t="str">
        <f>'[1]EMPRESAS DE SERGIPE'!$B$34</f>
        <v>Colégio CCPA</v>
      </c>
      <c r="C56" s="60" t="s">
        <v>45</v>
      </c>
      <c r="D56" s="72" t="str">
        <f>'[1]EMPRESAS DE SERGIPE'!$D$34</f>
        <v>COLÉGIO</v>
      </c>
      <c r="E56" s="16"/>
      <c r="F56" s="36"/>
      <c r="G56" s="36"/>
      <c r="H56" s="16"/>
      <c r="I56" s="36"/>
      <c r="J56" s="16"/>
      <c r="K56" s="36"/>
      <c r="L56" s="36"/>
      <c r="M56" s="1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</row>
    <row r="57" spans="1:42" s="35" customFormat="1" ht="40.15" customHeight="1" x14ac:dyDescent="0.25">
      <c r="A57" s="79">
        <f t="shared" si="37"/>
        <v>55</v>
      </c>
      <c r="B57" s="29" t="s">
        <v>87</v>
      </c>
      <c r="C57" s="60" t="s">
        <v>45</v>
      </c>
      <c r="D57" s="70" t="s">
        <v>88</v>
      </c>
      <c r="E57" s="16"/>
      <c r="F57" s="36"/>
      <c r="G57" s="36"/>
      <c r="H57" s="16"/>
      <c r="I57" s="37"/>
      <c r="J57" s="16"/>
      <c r="K57" s="36"/>
      <c r="L57" s="36"/>
      <c r="M57" s="1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</row>
    <row r="58" spans="1:42" s="35" customFormat="1" ht="40.15" customHeight="1" x14ac:dyDescent="0.25">
      <c r="A58" s="79">
        <f t="shared" si="37"/>
        <v>56</v>
      </c>
      <c r="B58" s="29" t="s">
        <v>89</v>
      </c>
      <c r="C58" s="60" t="s">
        <v>45</v>
      </c>
      <c r="D58" s="70" t="s">
        <v>88</v>
      </c>
      <c r="E58" s="16"/>
      <c r="F58" s="36"/>
      <c r="G58" s="36"/>
      <c r="H58" s="16"/>
      <c r="I58" s="36"/>
      <c r="J58" s="16"/>
      <c r="K58" s="36"/>
      <c r="L58" s="36"/>
      <c r="M58" s="1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</row>
    <row r="59" spans="1:42" s="35" customFormat="1" ht="40.15" customHeight="1" x14ac:dyDescent="0.25">
      <c r="A59" s="79">
        <f t="shared" si="37"/>
        <v>57</v>
      </c>
      <c r="B59" s="29" t="s">
        <v>90</v>
      </c>
      <c r="C59" s="60" t="s">
        <v>45</v>
      </c>
      <c r="D59" s="70" t="s">
        <v>88</v>
      </c>
      <c r="E59" s="16"/>
      <c r="F59" s="36"/>
      <c r="G59" s="36"/>
      <c r="H59" s="16"/>
      <c r="I59" s="37"/>
      <c r="J59" s="16"/>
      <c r="K59" s="36"/>
      <c r="L59" s="36"/>
      <c r="M59" s="16"/>
      <c r="N59" s="36"/>
      <c r="O59" s="37"/>
      <c r="P59" s="36"/>
      <c r="Q59" s="36"/>
      <c r="R59" s="36"/>
      <c r="S59" s="36"/>
      <c r="T59" s="36"/>
      <c r="U59" s="36"/>
      <c r="V59" s="36"/>
      <c r="W59" s="37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</row>
    <row r="60" spans="1:42" s="35" customFormat="1" ht="40.15" customHeight="1" x14ac:dyDescent="0.25">
      <c r="A60" s="79">
        <f t="shared" si="37"/>
        <v>58</v>
      </c>
      <c r="B60" s="29" t="s">
        <v>91</v>
      </c>
      <c r="C60" s="60" t="s">
        <v>45</v>
      </c>
      <c r="D60" s="70" t="s">
        <v>88</v>
      </c>
      <c r="E60" s="16"/>
      <c r="F60" s="36"/>
      <c r="G60" s="36"/>
      <c r="H60" s="16"/>
      <c r="I60" s="36"/>
      <c r="J60" s="16"/>
      <c r="K60" s="36"/>
      <c r="L60" s="36"/>
      <c r="M60" s="1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</row>
    <row r="61" spans="1:42" s="35" customFormat="1" ht="40.15" customHeight="1" x14ac:dyDescent="0.25">
      <c r="A61" s="79">
        <f t="shared" si="37"/>
        <v>59</v>
      </c>
      <c r="B61" s="29" t="s">
        <v>92</v>
      </c>
      <c r="C61" s="60" t="s">
        <v>45</v>
      </c>
      <c r="D61" s="70" t="s">
        <v>88</v>
      </c>
      <c r="E61" s="16"/>
      <c r="F61" s="36"/>
      <c r="G61" s="36"/>
      <c r="H61" s="16"/>
      <c r="I61" s="36"/>
      <c r="J61" s="16"/>
      <c r="K61" s="36"/>
      <c r="L61" s="36"/>
      <c r="M61" s="1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</row>
    <row r="62" spans="1:42" s="35" customFormat="1" ht="40.15" customHeight="1" x14ac:dyDescent="0.25">
      <c r="A62" s="79">
        <f t="shared" si="37"/>
        <v>60</v>
      </c>
      <c r="B62" s="29" t="s">
        <v>93</v>
      </c>
      <c r="C62" s="60" t="s">
        <v>45</v>
      </c>
      <c r="D62" s="70" t="s">
        <v>88</v>
      </c>
      <c r="E62" s="16"/>
      <c r="F62" s="36"/>
      <c r="G62" s="36"/>
      <c r="H62" s="18"/>
      <c r="I62" s="37"/>
      <c r="J62" s="18"/>
      <c r="K62" s="36"/>
      <c r="L62" s="36"/>
      <c r="M62" s="18"/>
      <c r="N62" s="36"/>
      <c r="O62" s="37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</row>
    <row r="63" spans="1:42" s="35" customFormat="1" ht="40.15" customHeight="1" x14ac:dyDescent="0.25">
      <c r="A63" s="79">
        <f t="shared" si="37"/>
        <v>61</v>
      </c>
      <c r="B63" s="29" t="s">
        <v>94</v>
      </c>
      <c r="C63" s="60" t="s">
        <v>45</v>
      </c>
      <c r="D63" s="70" t="s">
        <v>88</v>
      </c>
      <c r="E63" s="16"/>
      <c r="F63" s="36"/>
      <c r="G63" s="36"/>
      <c r="H63" s="16"/>
      <c r="I63" s="36"/>
      <c r="J63" s="16"/>
      <c r="K63" s="36"/>
      <c r="L63" s="36"/>
      <c r="M63" s="1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</row>
    <row r="64" spans="1:42" s="35" customFormat="1" ht="40.15" customHeight="1" x14ac:dyDescent="0.25">
      <c r="A64" s="79">
        <f t="shared" si="37"/>
        <v>62</v>
      </c>
      <c r="B64" s="27" t="s">
        <v>95</v>
      </c>
      <c r="C64" s="60" t="s">
        <v>45</v>
      </c>
      <c r="D64" s="63" t="s">
        <v>88</v>
      </c>
      <c r="E64" s="12"/>
      <c r="F64" s="41"/>
      <c r="G64" s="36"/>
      <c r="H64" s="16"/>
      <c r="I64" s="38"/>
      <c r="J64" s="16"/>
      <c r="K64" s="36"/>
      <c r="L64" s="36"/>
      <c r="M64" s="1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7"/>
      <c r="AK64" s="36"/>
      <c r="AL64" s="36"/>
      <c r="AM64" s="36"/>
      <c r="AN64" s="36"/>
      <c r="AO64" s="36"/>
      <c r="AP64" s="36"/>
    </row>
    <row r="65" spans="1:42" s="35" customFormat="1" ht="40.15" customHeight="1" x14ac:dyDescent="0.25">
      <c r="A65" s="79">
        <f t="shared" si="37"/>
        <v>63</v>
      </c>
      <c r="B65" s="81" t="s">
        <v>96</v>
      </c>
      <c r="C65" s="59" t="s">
        <v>45</v>
      </c>
      <c r="D65" s="63" t="s">
        <v>68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84"/>
    </row>
    <row r="66" spans="1:42" s="35" customFormat="1" ht="40.15" customHeight="1" x14ac:dyDescent="0.25">
      <c r="A66" s="79">
        <f t="shared" si="37"/>
        <v>64</v>
      </c>
      <c r="B66" s="27" t="s">
        <v>97</v>
      </c>
      <c r="C66" s="60" t="s">
        <v>45</v>
      </c>
      <c r="D66" s="63" t="s">
        <v>78</v>
      </c>
      <c r="E66" s="12"/>
      <c r="F66" s="42"/>
      <c r="G66" s="36"/>
      <c r="H66" s="37"/>
      <c r="I66" s="36"/>
      <c r="J66" s="16"/>
      <c r="K66" s="36"/>
      <c r="L66" s="36"/>
      <c r="M66" s="16"/>
      <c r="N66" s="36"/>
      <c r="O66" s="37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7"/>
      <c r="AB66" s="36"/>
      <c r="AC66" s="37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7"/>
      <c r="AP66" s="36"/>
    </row>
    <row r="67" spans="1:42" s="35" customFormat="1" ht="40.15" customHeight="1" x14ac:dyDescent="0.25">
      <c r="A67" s="79">
        <f t="shared" si="37"/>
        <v>65</v>
      </c>
      <c r="B67" s="81" t="s">
        <v>98</v>
      </c>
      <c r="C67" s="59" t="s">
        <v>45</v>
      </c>
      <c r="D67" s="63" t="s">
        <v>68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84"/>
    </row>
    <row r="68" spans="1:42" s="35" customFormat="1" ht="40.15" customHeight="1" x14ac:dyDescent="0.25">
      <c r="A68" s="79">
        <f t="shared" si="37"/>
        <v>66</v>
      </c>
      <c r="B68" s="17" t="s">
        <v>99</v>
      </c>
      <c r="C68" s="59" t="s">
        <v>45</v>
      </c>
      <c r="D68" s="63" t="s">
        <v>53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</row>
    <row r="69" spans="1:42" s="35" customFormat="1" ht="40.15" customHeight="1" x14ac:dyDescent="0.25">
      <c r="A69" s="79">
        <f t="shared" ref="A69:A137" si="38">A68+1</f>
        <v>67</v>
      </c>
      <c r="B69" s="39" t="s">
        <v>100</v>
      </c>
      <c r="C69" s="60" t="s">
        <v>45</v>
      </c>
      <c r="D69" s="69"/>
      <c r="E69" s="12"/>
      <c r="F69" s="38"/>
      <c r="G69" s="36"/>
      <c r="H69" s="16"/>
      <c r="I69" s="36"/>
      <c r="J69" s="16"/>
      <c r="K69" s="36"/>
      <c r="L69" s="36"/>
      <c r="M69" s="1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</row>
    <row r="70" spans="1:42" s="35" customFormat="1" ht="40.15" customHeight="1" x14ac:dyDescent="0.25">
      <c r="A70" s="79">
        <f t="shared" si="38"/>
        <v>68</v>
      </c>
      <c r="B70" s="27" t="s">
        <v>101</v>
      </c>
      <c r="C70" s="60" t="s">
        <v>45</v>
      </c>
      <c r="D70" s="63" t="s">
        <v>102</v>
      </c>
      <c r="E70" s="16"/>
      <c r="F70" s="36"/>
      <c r="G70" s="37"/>
      <c r="H70" s="13"/>
      <c r="I70" s="36"/>
      <c r="J70" s="16"/>
      <c r="K70" s="36"/>
      <c r="L70" s="36"/>
      <c r="M70" s="16"/>
      <c r="N70" s="36"/>
      <c r="O70" s="36"/>
      <c r="P70" s="36"/>
      <c r="Q70" s="36"/>
      <c r="R70" s="36"/>
      <c r="S70" s="36"/>
      <c r="T70" s="36"/>
      <c r="U70" s="36"/>
      <c r="V70" s="36"/>
      <c r="W70" s="37"/>
      <c r="X70" s="37"/>
      <c r="Y70" s="36"/>
      <c r="Z70" s="36"/>
      <c r="AA70" s="36"/>
      <c r="AB70" s="36"/>
      <c r="AC70" s="36"/>
      <c r="AD70" s="37"/>
      <c r="AE70" s="37"/>
      <c r="AF70" s="36"/>
      <c r="AG70" s="36"/>
      <c r="AH70" s="36"/>
      <c r="AI70" s="36"/>
      <c r="AJ70" s="36"/>
      <c r="AK70" s="36"/>
      <c r="AL70" s="36"/>
      <c r="AM70" s="36"/>
      <c r="AN70" s="38"/>
      <c r="AO70" s="37"/>
      <c r="AP70" s="36"/>
    </row>
    <row r="71" spans="1:42" s="35" customFormat="1" ht="40.15" customHeight="1" x14ac:dyDescent="0.25">
      <c r="A71" s="79">
        <f t="shared" si="38"/>
        <v>69</v>
      </c>
      <c r="B71" s="78" t="s">
        <v>103</v>
      </c>
      <c r="C71" s="60" t="s">
        <v>45</v>
      </c>
      <c r="D71" s="63" t="s">
        <v>104</v>
      </c>
      <c r="E71" s="13"/>
      <c r="F71" s="37"/>
      <c r="G71" s="36"/>
      <c r="H71" s="13"/>
      <c r="I71" s="36"/>
      <c r="J71" s="13"/>
      <c r="K71" s="36"/>
      <c r="L71" s="37"/>
      <c r="M71" s="16"/>
      <c r="N71" s="36"/>
      <c r="O71" s="36"/>
      <c r="P71" s="37"/>
      <c r="Q71" s="37"/>
      <c r="R71" s="36"/>
      <c r="S71" s="37"/>
      <c r="T71" s="37"/>
      <c r="U71" s="36"/>
      <c r="V71" s="36"/>
      <c r="W71" s="37"/>
      <c r="X71" s="36"/>
      <c r="Y71" s="36"/>
      <c r="Z71" s="36"/>
      <c r="AA71" s="36"/>
      <c r="AB71" s="36"/>
      <c r="AC71" s="36"/>
      <c r="AD71" s="37"/>
      <c r="AE71" s="36"/>
      <c r="AF71" s="37"/>
      <c r="AG71" s="36"/>
      <c r="AH71" s="36"/>
      <c r="AI71" s="36"/>
      <c r="AJ71" s="36"/>
      <c r="AK71" s="36"/>
      <c r="AL71" s="37"/>
      <c r="AM71" s="37"/>
      <c r="AN71" s="36"/>
      <c r="AO71" s="37"/>
      <c r="AP71" s="36"/>
    </row>
    <row r="72" spans="1:42" s="35" customFormat="1" ht="40.15" hidden="1" customHeight="1" x14ac:dyDescent="0.25">
      <c r="A72" s="79">
        <f t="shared" si="38"/>
        <v>70</v>
      </c>
      <c r="B72" s="27" t="s">
        <v>105</v>
      </c>
      <c r="C72" s="59" t="s">
        <v>106</v>
      </c>
      <c r="D72" s="63" t="s">
        <v>104</v>
      </c>
      <c r="E72" s="12"/>
      <c r="F72" s="37"/>
      <c r="G72" s="36"/>
      <c r="H72" s="16"/>
      <c r="I72" s="36"/>
      <c r="J72" s="16"/>
      <c r="K72" s="36"/>
      <c r="L72" s="36"/>
      <c r="M72" s="1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7"/>
      <c r="AG72" s="36"/>
      <c r="AH72" s="36"/>
      <c r="AI72" s="36"/>
      <c r="AJ72" s="36"/>
      <c r="AK72" s="36"/>
      <c r="AL72" s="36"/>
      <c r="AM72" s="36"/>
      <c r="AN72" s="36"/>
      <c r="AO72" s="37"/>
      <c r="AP72" s="36"/>
    </row>
    <row r="73" spans="1:42" s="35" customFormat="1" ht="40.15" customHeight="1" x14ac:dyDescent="0.25">
      <c r="A73" s="79">
        <f t="shared" si="38"/>
        <v>71</v>
      </c>
      <c r="B73" s="28" t="s">
        <v>467</v>
      </c>
      <c r="C73" s="62" t="s">
        <v>45</v>
      </c>
      <c r="D73" s="62" t="s">
        <v>104</v>
      </c>
      <c r="E73" s="16"/>
      <c r="F73" s="36"/>
      <c r="G73" s="36"/>
      <c r="H73" s="16"/>
      <c r="I73" s="36"/>
      <c r="J73" s="16"/>
      <c r="K73" s="36"/>
      <c r="L73" s="36"/>
      <c r="M73" s="1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</row>
    <row r="74" spans="1:42" s="35" customFormat="1" ht="40.15" customHeight="1" x14ac:dyDescent="0.25">
      <c r="A74" s="79">
        <f t="shared" si="38"/>
        <v>72</v>
      </c>
      <c r="B74" s="27" t="s">
        <v>107</v>
      </c>
      <c r="C74" s="60" t="s">
        <v>45</v>
      </c>
      <c r="D74" s="63" t="s">
        <v>104</v>
      </c>
      <c r="E74" s="12"/>
      <c r="F74" s="41"/>
      <c r="G74" s="36"/>
      <c r="H74" s="16"/>
      <c r="I74" s="36"/>
      <c r="J74" s="16"/>
      <c r="K74" s="36"/>
      <c r="L74" s="36"/>
      <c r="M74" s="1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7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spans="1:42" s="35" customFormat="1" ht="40.15" customHeight="1" x14ac:dyDescent="0.25">
      <c r="A75" s="79">
        <f t="shared" si="38"/>
        <v>73</v>
      </c>
      <c r="B75" s="27" t="s">
        <v>108</v>
      </c>
      <c r="C75" s="60" t="s">
        <v>45</v>
      </c>
      <c r="D75" s="63" t="s">
        <v>104</v>
      </c>
      <c r="E75" s="12"/>
      <c r="F75" s="37"/>
      <c r="G75" s="36"/>
      <c r="H75" s="37"/>
      <c r="I75" s="36"/>
      <c r="J75" s="37"/>
      <c r="K75" s="36"/>
      <c r="L75" s="36"/>
      <c r="M75" s="1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7"/>
      <c r="AG75" s="36"/>
      <c r="AH75" s="36"/>
      <c r="AI75" s="36"/>
      <c r="AJ75" s="36"/>
      <c r="AK75" s="36"/>
      <c r="AL75" s="36"/>
      <c r="AM75" s="36"/>
      <c r="AN75" s="36"/>
      <c r="AO75" s="36"/>
      <c r="AP75" s="36"/>
    </row>
    <row r="76" spans="1:42" s="35" customFormat="1" ht="40.15" customHeight="1" x14ac:dyDescent="0.25">
      <c r="A76" s="79">
        <f t="shared" si="38"/>
        <v>74</v>
      </c>
      <c r="B76" s="27" t="s">
        <v>109</v>
      </c>
      <c r="C76" s="60" t="s">
        <v>45</v>
      </c>
      <c r="D76" s="63" t="s">
        <v>104</v>
      </c>
      <c r="E76" s="12"/>
      <c r="F76" s="37"/>
      <c r="G76" s="36"/>
      <c r="H76" s="19"/>
      <c r="I76" s="36"/>
      <c r="J76" s="19"/>
      <c r="K76" s="36"/>
      <c r="L76" s="36"/>
      <c r="M76" s="19"/>
      <c r="N76" s="36"/>
      <c r="O76" s="36"/>
      <c r="P76" s="36"/>
      <c r="Q76" s="36"/>
      <c r="R76" s="36"/>
      <c r="S76" s="37"/>
      <c r="T76" s="36"/>
      <c r="U76" s="36"/>
      <c r="V76" s="36"/>
      <c r="W76" s="36"/>
      <c r="X76" s="36"/>
      <c r="Y76" s="36"/>
      <c r="Z76" s="37"/>
      <c r="AA76" s="36"/>
      <c r="AB76" s="36"/>
      <c r="AC76" s="36"/>
      <c r="AD76" s="36"/>
      <c r="AE76" s="36"/>
      <c r="AF76" s="37"/>
      <c r="AG76" s="36"/>
      <c r="AH76" s="36"/>
      <c r="AI76" s="36"/>
      <c r="AJ76" s="36"/>
      <c r="AK76" s="36"/>
      <c r="AL76" s="36"/>
      <c r="AM76" s="36"/>
      <c r="AN76" s="36"/>
      <c r="AO76" s="36"/>
      <c r="AP76" s="36"/>
    </row>
    <row r="77" spans="1:42" s="35" customFormat="1" ht="40.15" customHeight="1" x14ac:dyDescent="0.25">
      <c r="A77" s="79">
        <f t="shared" si="38"/>
        <v>75</v>
      </c>
      <c r="B77" s="28" t="s">
        <v>468</v>
      </c>
      <c r="C77" s="62" t="s">
        <v>45</v>
      </c>
      <c r="D77" s="62" t="s">
        <v>104</v>
      </c>
      <c r="E77" s="16"/>
      <c r="F77" s="36"/>
      <c r="G77" s="36"/>
      <c r="H77" s="19"/>
      <c r="I77" s="36"/>
      <c r="J77" s="19"/>
      <c r="K77" s="36"/>
      <c r="L77" s="36"/>
      <c r="M77" s="19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</row>
    <row r="78" spans="1:42" s="35" customFormat="1" ht="40.15" customHeight="1" x14ac:dyDescent="0.25">
      <c r="A78" s="79">
        <f t="shared" si="38"/>
        <v>76</v>
      </c>
      <c r="B78" s="27" t="s">
        <v>110</v>
      </c>
      <c r="C78" s="60" t="s">
        <v>45</v>
      </c>
      <c r="D78" s="63" t="s">
        <v>104</v>
      </c>
      <c r="E78" s="12"/>
      <c r="F78" s="37"/>
      <c r="G78" s="36"/>
      <c r="H78" s="16"/>
      <c r="I78" s="36"/>
      <c r="J78" s="13"/>
      <c r="K78" s="36"/>
      <c r="L78" s="36"/>
      <c r="M78" s="16"/>
      <c r="N78" s="36"/>
      <c r="O78" s="36"/>
      <c r="P78" s="36"/>
      <c r="Q78" s="36"/>
      <c r="R78" s="36"/>
      <c r="S78" s="36"/>
      <c r="T78" s="37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7"/>
      <c r="AG78" s="36"/>
      <c r="AH78" s="36"/>
      <c r="AI78" s="36"/>
      <c r="AJ78" s="36"/>
      <c r="AK78" s="36"/>
      <c r="AL78" s="36"/>
      <c r="AM78" s="36"/>
      <c r="AN78" s="36"/>
      <c r="AO78" s="38"/>
      <c r="AP78" s="36"/>
    </row>
    <row r="79" spans="1:42" s="35" customFormat="1" ht="40.15" customHeight="1" x14ac:dyDescent="0.25">
      <c r="A79" s="79">
        <f t="shared" si="38"/>
        <v>77</v>
      </c>
      <c r="B79" s="27" t="s">
        <v>111</v>
      </c>
      <c r="C79" s="60" t="s">
        <v>45</v>
      </c>
      <c r="D79" s="63" t="s">
        <v>112</v>
      </c>
      <c r="E79" s="12"/>
      <c r="F79" s="37"/>
      <c r="G79" s="36"/>
      <c r="H79" s="16"/>
      <c r="I79" s="36"/>
      <c r="J79" s="37"/>
      <c r="K79" s="36"/>
      <c r="L79" s="36"/>
      <c r="M79" s="16"/>
      <c r="N79" s="36"/>
      <c r="O79" s="36"/>
      <c r="P79" s="36"/>
      <c r="Q79" s="36"/>
      <c r="R79" s="36"/>
      <c r="S79" s="36"/>
      <c r="T79" s="36"/>
      <c r="U79" s="36"/>
      <c r="V79" s="36"/>
      <c r="W79" s="37"/>
      <c r="X79" s="36"/>
      <c r="Y79" s="36"/>
      <c r="Z79" s="36"/>
      <c r="AA79" s="36"/>
      <c r="AB79" s="36"/>
      <c r="AC79" s="36"/>
      <c r="AD79" s="36"/>
      <c r="AE79" s="36"/>
      <c r="AF79" s="37"/>
      <c r="AG79" s="36"/>
      <c r="AH79" s="36"/>
      <c r="AI79" s="36"/>
      <c r="AJ79" s="36"/>
      <c r="AK79" s="36"/>
      <c r="AL79" s="36"/>
      <c r="AM79" s="36"/>
      <c r="AN79" s="36"/>
      <c r="AO79" s="38"/>
      <c r="AP79" s="36"/>
    </row>
    <row r="80" spans="1:42" s="35" customFormat="1" ht="40.15" customHeight="1" x14ac:dyDescent="0.25">
      <c r="A80" s="79">
        <f t="shared" si="38"/>
        <v>78</v>
      </c>
      <c r="B80" s="27" t="s">
        <v>113</v>
      </c>
      <c r="C80" s="60" t="s">
        <v>45</v>
      </c>
      <c r="D80" s="63" t="s">
        <v>104</v>
      </c>
      <c r="E80" s="12"/>
      <c r="F80" s="36"/>
      <c r="G80" s="37"/>
      <c r="H80" s="16"/>
      <c r="I80" s="36"/>
      <c r="J80" s="23"/>
      <c r="K80" s="36"/>
      <c r="L80" s="36"/>
      <c r="M80" s="1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42" s="35" customFormat="1" ht="40.15" customHeight="1" x14ac:dyDescent="0.25">
      <c r="A81" s="79">
        <f t="shared" si="38"/>
        <v>79</v>
      </c>
      <c r="B81" s="27" t="s">
        <v>114</v>
      </c>
      <c r="C81" s="60" t="s">
        <v>45</v>
      </c>
      <c r="D81" s="63" t="s">
        <v>115</v>
      </c>
      <c r="E81" s="37"/>
      <c r="F81" s="41"/>
      <c r="G81" s="36"/>
      <c r="H81" s="16"/>
      <c r="I81" s="36"/>
      <c r="J81" s="16"/>
      <c r="K81" s="36"/>
      <c r="L81" s="36"/>
      <c r="M81" s="16"/>
      <c r="N81" s="36"/>
      <c r="O81" s="37"/>
      <c r="P81" s="36"/>
      <c r="Q81" s="36"/>
      <c r="R81" s="36"/>
      <c r="S81" s="36"/>
      <c r="T81" s="36"/>
      <c r="U81" s="36"/>
      <c r="V81" s="36"/>
      <c r="W81" s="36"/>
      <c r="X81" s="36"/>
      <c r="Y81" s="37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7"/>
      <c r="AP81" s="36"/>
    </row>
    <row r="82" spans="1:42" s="35" customFormat="1" ht="40.15" customHeight="1" x14ac:dyDescent="0.25">
      <c r="A82" s="79">
        <f t="shared" si="38"/>
        <v>80</v>
      </c>
      <c r="B82" s="43" t="s">
        <v>116</v>
      </c>
      <c r="C82" s="64" t="s">
        <v>45</v>
      </c>
      <c r="D82" s="71" t="s">
        <v>117</v>
      </c>
      <c r="E82" s="12"/>
      <c r="F82" s="41"/>
      <c r="G82" s="36"/>
      <c r="H82" s="16"/>
      <c r="I82" s="36"/>
      <c r="J82" s="16"/>
      <c r="K82" s="36"/>
      <c r="L82" s="36"/>
      <c r="M82" s="1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</row>
    <row r="83" spans="1:42" s="35" customFormat="1" ht="40.15" customHeight="1" x14ac:dyDescent="0.25">
      <c r="A83" s="79">
        <f t="shared" si="38"/>
        <v>81</v>
      </c>
      <c r="B83" s="28" t="s">
        <v>457</v>
      </c>
      <c r="C83" s="60" t="s">
        <v>45</v>
      </c>
      <c r="D83" s="62" t="s">
        <v>458</v>
      </c>
      <c r="E83" s="16"/>
      <c r="F83" s="36"/>
      <c r="G83" s="36"/>
      <c r="H83" s="16"/>
      <c r="I83" s="36"/>
      <c r="J83" s="16"/>
      <c r="K83" s="36"/>
      <c r="L83" s="36"/>
      <c r="M83" s="1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</row>
    <row r="84" spans="1:42" s="35" customFormat="1" ht="40.15" customHeight="1" x14ac:dyDescent="0.25">
      <c r="A84" s="79">
        <f t="shared" si="38"/>
        <v>82</v>
      </c>
      <c r="B84" s="27" t="s">
        <v>118</v>
      </c>
      <c r="C84" s="60" t="s">
        <v>45</v>
      </c>
      <c r="D84" s="63" t="s">
        <v>119</v>
      </c>
      <c r="E84" s="12"/>
      <c r="F84" s="41"/>
      <c r="G84" s="36"/>
      <c r="H84" s="16"/>
      <c r="I84" s="36"/>
      <c r="J84" s="16"/>
      <c r="K84" s="37"/>
      <c r="L84" s="36"/>
      <c r="M84" s="1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</row>
    <row r="85" spans="1:42" s="35" customFormat="1" ht="40.15" customHeight="1" x14ac:dyDescent="0.25">
      <c r="A85" s="79">
        <f t="shared" si="38"/>
        <v>83</v>
      </c>
      <c r="B85" s="27" t="s">
        <v>120</v>
      </c>
      <c r="C85" s="60" t="s">
        <v>45</v>
      </c>
      <c r="D85" s="63" t="s">
        <v>119</v>
      </c>
      <c r="E85" s="12"/>
      <c r="F85" s="41"/>
      <c r="G85" s="36"/>
      <c r="H85" s="17"/>
      <c r="I85" s="36"/>
      <c r="J85" s="17"/>
      <c r="K85" s="37"/>
      <c r="L85" s="36"/>
      <c r="M85" s="17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</row>
    <row r="86" spans="1:42" s="35" customFormat="1" ht="40.15" hidden="1" customHeight="1" x14ac:dyDescent="0.25">
      <c r="A86" s="79">
        <f t="shared" si="38"/>
        <v>84</v>
      </c>
      <c r="B86" s="28" t="s">
        <v>121</v>
      </c>
      <c r="C86" s="60" t="s">
        <v>73</v>
      </c>
      <c r="D86" s="62" t="s">
        <v>122</v>
      </c>
      <c r="E86" s="16"/>
      <c r="F86" s="36"/>
      <c r="G86" s="36"/>
      <c r="H86" s="17"/>
      <c r="I86" s="36"/>
      <c r="J86" s="17"/>
      <c r="K86" s="36"/>
      <c r="L86" s="36"/>
      <c r="M86" s="17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</row>
    <row r="87" spans="1:42" s="35" customFormat="1" ht="40.15" hidden="1" customHeight="1" x14ac:dyDescent="0.25">
      <c r="A87" s="79">
        <f t="shared" si="38"/>
        <v>85</v>
      </c>
      <c r="B87" s="27" t="s">
        <v>123</v>
      </c>
      <c r="C87" s="59" t="s">
        <v>124</v>
      </c>
      <c r="D87" s="62" t="s">
        <v>53</v>
      </c>
      <c r="E87" s="12"/>
      <c r="F87" s="41"/>
      <c r="G87" s="36"/>
      <c r="H87" s="16"/>
      <c r="I87" s="36"/>
      <c r="J87" s="16"/>
      <c r="K87" s="36"/>
      <c r="L87" s="36"/>
      <c r="M87" s="13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7"/>
      <c r="AM87" s="36"/>
      <c r="AN87" s="36"/>
      <c r="AO87" s="36"/>
      <c r="AP87" s="36"/>
    </row>
    <row r="88" spans="1:42" s="35" customFormat="1" ht="39.6" hidden="1" customHeight="1" x14ac:dyDescent="0.25">
      <c r="A88" s="79">
        <f t="shared" si="38"/>
        <v>86</v>
      </c>
      <c r="B88" s="28" t="s">
        <v>125</v>
      </c>
      <c r="C88" s="60" t="s">
        <v>73</v>
      </c>
      <c r="D88" s="62" t="s">
        <v>126</v>
      </c>
      <c r="E88" s="12"/>
      <c r="F88" s="41"/>
      <c r="G88" s="36"/>
      <c r="H88" s="19"/>
      <c r="I88" s="36"/>
      <c r="J88" s="19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</row>
    <row r="89" spans="1:42" s="35" customFormat="1" ht="40.15" customHeight="1" x14ac:dyDescent="0.25">
      <c r="A89" s="79">
        <f t="shared" si="38"/>
        <v>87</v>
      </c>
      <c r="B89" s="27" t="s">
        <v>127</v>
      </c>
      <c r="C89" s="60" t="s">
        <v>45</v>
      </c>
      <c r="D89" s="63" t="s">
        <v>119</v>
      </c>
      <c r="E89" s="12"/>
      <c r="F89" s="41"/>
      <c r="G89" s="36"/>
      <c r="H89" s="16"/>
      <c r="I89" s="36"/>
      <c r="J89" s="16"/>
      <c r="K89" s="37"/>
      <c r="L89" s="36"/>
      <c r="M89" s="1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</row>
    <row r="90" spans="1:42" s="35" customFormat="1" ht="40.15" customHeight="1" x14ac:dyDescent="0.25">
      <c r="A90" s="79">
        <f t="shared" si="38"/>
        <v>88</v>
      </c>
      <c r="B90" s="81" t="s">
        <v>128</v>
      </c>
      <c r="C90" s="59" t="s">
        <v>45</v>
      </c>
      <c r="D90" s="63" t="s">
        <v>68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84"/>
    </row>
    <row r="91" spans="1:42" s="35" customFormat="1" ht="40.15" customHeight="1" x14ac:dyDescent="0.25">
      <c r="A91" s="79">
        <f t="shared" si="38"/>
        <v>89</v>
      </c>
      <c r="B91" s="27" t="s">
        <v>129</v>
      </c>
      <c r="C91" s="60" t="s">
        <v>45</v>
      </c>
      <c r="D91" s="63" t="s">
        <v>104</v>
      </c>
      <c r="E91" s="12"/>
      <c r="F91" s="37"/>
      <c r="G91" s="36"/>
      <c r="H91" s="16"/>
      <c r="I91" s="36"/>
      <c r="J91" s="37"/>
      <c r="K91" s="37"/>
      <c r="L91" s="36"/>
      <c r="M91" s="1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7"/>
      <c r="AG91" s="36"/>
      <c r="AH91" s="36"/>
      <c r="AI91" s="36"/>
      <c r="AJ91" s="36"/>
      <c r="AK91" s="36"/>
      <c r="AL91" s="36"/>
      <c r="AM91" s="36"/>
      <c r="AN91" s="36"/>
      <c r="AO91" s="36"/>
      <c r="AP91" s="36"/>
    </row>
    <row r="92" spans="1:42" s="35" customFormat="1" ht="40.15" customHeight="1" x14ac:dyDescent="0.25">
      <c r="A92" s="79">
        <f t="shared" si="38"/>
        <v>90</v>
      </c>
      <c r="B92" s="29" t="s">
        <v>130</v>
      </c>
      <c r="C92" s="60" t="s">
        <v>45</v>
      </c>
      <c r="D92" s="63" t="s">
        <v>131</v>
      </c>
      <c r="E92" s="12"/>
      <c r="F92" s="41"/>
      <c r="G92" s="36"/>
      <c r="H92" s="16"/>
      <c r="I92" s="36"/>
      <c r="J92" s="16"/>
      <c r="K92" s="36"/>
      <c r="L92" s="36"/>
      <c r="M92" s="1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16"/>
      <c r="AO92" s="36"/>
      <c r="AP92" s="36"/>
    </row>
    <row r="93" spans="1:42" s="35" customFormat="1" ht="40.15" customHeight="1" x14ac:dyDescent="0.25">
      <c r="A93" s="79">
        <f t="shared" si="38"/>
        <v>91</v>
      </c>
      <c r="B93" s="29" t="s">
        <v>130</v>
      </c>
      <c r="C93" s="60" t="s">
        <v>45</v>
      </c>
      <c r="D93" s="63" t="s">
        <v>131</v>
      </c>
      <c r="E93" s="12"/>
      <c r="F93" s="41"/>
      <c r="G93" s="36"/>
      <c r="H93" s="16"/>
      <c r="I93" s="36"/>
      <c r="J93" s="16"/>
      <c r="K93" s="36"/>
      <c r="L93" s="36"/>
      <c r="M93" s="1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7"/>
      <c r="AP93" s="36"/>
    </row>
    <row r="94" spans="1:42" s="35" customFormat="1" ht="40.15" customHeight="1" x14ac:dyDescent="0.25">
      <c r="A94" s="79">
        <f t="shared" si="38"/>
        <v>92</v>
      </c>
      <c r="B94" s="27" t="s">
        <v>132</v>
      </c>
      <c r="C94" s="60" t="s">
        <v>45</v>
      </c>
      <c r="D94" s="63" t="s">
        <v>133</v>
      </c>
      <c r="E94" s="12"/>
      <c r="F94" s="41"/>
      <c r="G94" s="36"/>
      <c r="H94" s="16"/>
      <c r="I94" s="36"/>
      <c r="J94" s="16"/>
      <c r="K94" s="36"/>
      <c r="L94" s="36"/>
      <c r="M94" s="16"/>
      <c r="N94" s="36"/>
      <c r="O94" s="36"/>
      <c r="P94" s="37"/>
      <c r="Q94" s="36"/>
      <c r="R94" s="36"/>
      <c r="S94" s="37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7"/>
      <c r="AP94" s="36"/>
    </row>
    <row r="95" spans="1:42" s="35" customFormat="1" ht="40.15" customHeight="1" x14ac:dyDescent="0.25">
      <c r="A95" s="79">
        <f t="shared" si="38"/>
        <v>93</v>
      </c>
      <c r="B95" s="27" t="s">
        <v>134</v>
      </c>
      <c r="C95" s="59" t="s">
        <v>45</v>
      </c>
      <c r="D95" s="63"/>
      <c r="E95" s="12"/>
      <c r="F95" s="38"/>
      <c r="G95" s="36"/>
      <c r="H95" s="16"/>
      <c r="I95" s="36"/>
      <c r="J95" s="16"/>
      <c r="K95" s="36"/>
      <c r="L95" s="36"/>
      <c r="M95" s="16"/>
      <c r="N95" s="36"/>
      <c r="O95" s="16"/>
      <c r="P95" s="36"/>
      <c r="Q95" s="1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</row>
    <row r="96" spans="1:42" s="35" customFormat="1" ht="40.15" customHeight="1" x14ac:dyDescent="0.25">
      <c r="A96" s="79">
        <f t="shared" si="38"/>
        <v>94</v>
      </c>
      <c r="B96" s="29" t="s">
        <v>135</v>
      </c>
      <c r="C96" s="60" t="s">
        <v>45</v>
      </c>
      <c r="D96" s="70" t="s">
        <v>136</v>
      </c>
      <c r="E96" s="12"/>
      <c r="F96" s="37"/>
      <c r="G96" s="36"/>
      <c r="H96" s="16"/>
      <c r="I96" s="36"/>
      <c r="J96" s="16"/>
      <c r="K96" s="36"/>
      <c r="L96" s="36"/>
      <c r="M96" s="1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</row>
    <row r="97" spans="1:42" s="35" customFormat="1" ht="40.15" customHeight="1" x14ac:dyDescent="0.25">
      <c r="A97" s="79">
        <f t="shared" si="38"/>
        <v>95</v>
      </c>
      <c r="B97" s="27" t="s">
        <v>137</v>
      </c>
      <c r="C97" s="60" t="s">
        <v>45</v>
      </c>
      <c r="D97" s="63" t="s">
        <v>102</v>
      </c>
      <c r="E97" s="12"/>
      <c r="F97" s="41"/>
      <c r="G97" s="36"/>
      <c r="H97" s="36"/>
      <c r="I97" s="36"/>
      <c r="J97" s="16"/>
      <c r="K97" s="36"/>
      <c r="L97" s="36"/>
      <c r="M97" s="16"/>
      <c r="N97" s="36"/>
      <c r="O97" s="36"/>
      <c r="P97" s="36"/>
      <c r="Q97" s="36"/>
      <c r="R97" s="36"/>
      <c r="S97" s="36"/>
      <c r="T97" s="36"/>
      <c r="U97" s="37"/>
      <c r="V97" s="36"/>
      <c r="W97" s="36"/>
      <c r="X97" s="37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</row>
    <row r="98" spans="1:42" s="35" customFormat="1" ht="40.15" customHeight="1" x14ac:dyDescent="0.25">
      <c r="A98" s="79">
        <f t="shared" si="38"/>
        <v>96</v>
      </c>
      <c r="B98" s="81" t="s">
        <v>138</v>
      </c>
      <c r="C98" s="59" t="s">
        <v>45</v>
      </c>
      <c r="D98" s="63" t="s">
        <v>139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84"/>
    </row>
    <row r="99" spans="1:42" s="35" customFormat="1" ht="40.15" customHeight="1" x14ac:dyDescent="0.25">
      <c r="A99" s="79">
        <f t="shared" si="38"/>
        <v>97</v>
      </c>
      <c r="B99" s="27" t="s">
        <v>140</v>
      </c>
      <c r="C99" s="60" t="s">
        <v>45</v>
      </c>
      <c r="D99" s="63" t="s">
        <v>141</v>
      </c>
      <c r="E99" s="12"/>
      <c r="F99" s="41"/>
      <c r="G99" s="36"/>
      <c r="H99" s="16"/>
      <c r="I99" s="36"/>
      <c r="J99" s="16"/>
      <c r="K99" s="36"/>
      <c r="L99" s="36"/>
      <c r="M99" s="16"/>
      <c r="N99" s="36"/>
      <c r="O99" s="36"/>
      <c r="P99" s="36"/>
      <c r="Q99" s="36"/>
      <c r="R99" s="36"/>
      <c r="S99" s="36"/>
      <c r="T99" s="36"/>
      <c r="U99" s="37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</row>
    <row r="100" spans="1:42" s="35" customFormat="1" ht="40.15" customHeight="1" x14ac:dyDescent="0.25">
      <c r="A100" s="79">
        <f t="shared" si="38"/>
        <v>98</v>
      </c>
      <c r="B100" s="27" t="s">
        <v>142</v>
      </c>
      <c r="C100" s="60" t="s">
        <v>45</v>
      </c>
      <c r="D100" s="63" t="s">
        <v>143</v>
      </c>
      <c r="E100" s="12"/>
      <c r="F100" s="37"/>
      <c r="G100" s="36"/>
      <c r="H100" s="16"/>
      <c r="I100" s="36"/>
      <c r="J100" s="16"/>
      <c r="K100" s="36"/>
      <c r="L100" s="36"/>
      <c r="M100" s="16"/>
      <c r="N100" s="36"/>
      <c r="O100" s="36"/>
      <c r="P100" s="36"/>
      <c r="Q100" s="36"/>
      <c r="R100" s="36"/>
      <c r="S100" s="36"/>
      <c r="T100" s="36"/>
      <c r="U100" s="36"/>
      <c r="V100" s="36"/>
      <c r="W100" s="37"/>
      <c r="X100" s="36"/>
      <c r="Y100" s="36"/>
      <c r="Z100" s="36"/>
      <c r="AA100" s="36"/>
      <c r="AB100" s="36"/>
      <c r="AC100" s="36"/>
      <c r="AD100" s="36"/>
      <c r="AE100" s="36"/>
      <c r="AF100" s="37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</row>
    <row r="101" spans="1:42" s="35" customFormat="1" ht="40.15" hidden="1" customHeight="1" x14ac:dyDescent="0.25">
      <c r="A101" s="79">
        <f t="shared" si="38"/>
        <v>99</v>
      </c>
      <c r="B101" s="27" t="s">
        <v>144</v>
      </c>
      <c r="C101" s="60" t="s">
        <v>47</v>
      </c>
      <c r="D101" s="63" t="s">
        <v>80</v>
      </c>
      <c r="E101" s="12"/>
      <c r="F101" s="41"/>
      <c r="G101" s="36"/>
      <c r="H101" s="16"/>
      <c r="I101" s="36"/>
      <c r="J101" s="16"/>
      <c r="K101" s="36"/>
      <c r="L101" s="36"/>
      <c r="M101" s="1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</row>
    <row r="102" spans="1:42" s="35" customFormat="1" ht="40.15" customHeight="1" x14ac:dyDescent="0.25">
      <c r="A102" s="79">
        <f t="shared" si="38"/>
        <v>100</v>
      </c>
      <c r="B102" s="81" t="s">
        <v>145</v>
      </c>
      <c r="C102" s="59" t="s">
        <v>45</v>
      </c>
      <c r="D102" s="63" t="s">
        <v>68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84"/>
    </row>
    <row r="103" spans="1:42" s="35" customFormat="1" ht="40.15" customHeight="1" x14ac:dyDescent="0.25">
      <c r="A103" s="79">
        <f t="shared" si="38"/>
        <v>101</v>
      </c>
      <c r="B103" s="27" t="s">
        <v>146</v>
      </c>
      <c r="C103" s="60" t="s">
        <v>45</v>
      </c>
      <c r="D103" s="63" t="s">
        <v>147</v>
      </c>
      <c r="E103" s="16"/>
      <c r="F103" s="36"/>
      <c r="G103" s="36"/>
      <c r="H103" s="16"/>
      <c r="I103" s="36"/>
      <c r="J103" s="16"/>
      <c r="K103" s="36"/>
      <c r="L103" s="36"/>
      <c r="M103" s="1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</row>
    <row r="104" spans="1:42" s="35" customFormat="1" ht="40.15" customHeight="1" x14ac:dyDescent="0.25">
      <c r="A104" s="79">
        <f t="shared" si="38"/>
        <v>102</v>
      </c>
      <c r="B104" s="27" t="s">
        <v>148</v>
      </c>
      <c r="C104" s="60" t="s">
        <v>45</v>
      </c>
      <c r="D104" s="63" t="s">
        <v>147</v>
      </c>
      <c r="E104" s="12"/>
      <c r="F104" s="37"/>
      <c r="G104" s="36"/>
      <c r="H104" s="16"/>
      <c r="I104" s="36"/>
      <c r="J104" s="16"/>
      <c r="K104" s="36"/>
      <c r="L104" s="36"/>
      <c r="M104" s="1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</row>
    <row r="105" spans="1:42" s="35" customFormat="1" ht="40.15" customHeight="1" x14ac:dyDescent="0.25">
      <c r="A105" s="79">
        <f t="shared" si="38"/>
        <v>103</v>
      </c>
      <c r="B105" s="27" t="s">
        <v>149</v>
      </c>
      <c r="C105" s="60" t="s">
        <v>45</v>
      </c>
      <c r="D105" s="62" t="s">
        <v>147</v>
      </c>
      <c r="E105" s="12"/>
      <c r="F105" s="37"/>
      <c r="G105" s="36"/>
      <c r="H105" s="16"/>
      <c r="I105" s="36"/>
      <c r="J105" s="16"/>
      <c r="K105" s="36"/>
      <c r="L105" s="36"/>
      <c r="M105" s="1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</row>
    <row r="106" spans="1:42" s="35" customFormat="1" ht="40.15" hidden="1" customHeight="1" x14ac:dyDescent="0.25">
      <c r="A106" s="79">
        <f t="shared" si="38"/>
        <v>104</v>
      </c>
      <c r="B106" s="27" t="s">
        <v>150</v>
      </c>
      <c r="C106" s="59" t="s">
        <v>151</v>
      </c>
      <c r="D106" s="63" t="s">
        <v>147</v>
      </c>
      <c r="E106" s="12"/>
      <c r="F106" s="37"/>
      <c r="G106" s="36"/>
      <c r="H106" s="18"/>
      <c r="I106" s="36"/>
      <c r="J106" s="18"/>
      <c r="K106" s="36"/>
      <c r="L106" s="36"/>
      <c r="M106" s="18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</row>
    <row r="107" spans="1:42" s="35" customFormat="1" ht="40.15" customHeight="1" x14ac:dyDescent="0.25">
      <c r="A107" s="79">
        <f t="shared" si="38"/>
        <v>105</v>
      </c>
      <c r="B107" s="27" t="s">
        <v>152</v>
      </c>
      <c r="C107" s="60" t="s">
        <v>45</v>
      </c>
      <c r="D107" s="63" t="s">
        <v>147</v>
      </c>
      <c r="E107" s="12"/>
      <c r="F107" s="37"/>
      <c r="G107" s="36"/>
      <c r="H107" s="18"/>
      <c r="I107" s="36"/>
      <c r="J107" s="18"/>
      <c r="K107" s="36"/>
      <c r="L107" s="36"/>
      <c r="M107" s="18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</row>
    <row r="108" spans="1:42" s="35" customFormat="1" ht="40.15" customHeight="1" x14ac:dyDescent="0.25">
      <c r="A108" s="79">
        <f t="shared" si="38"/>
        <v>106</v>
      </c>
      <c r="B108" s="27" t="s">
        <v>153</v>
      </c>
      <c r="C108" s="60" t="s">
        <v>45</v>
      </c>
      <c r="D108" s="63" t="s">
        <v>147</v>
      </c>
      <c r="E108" s="12"/>
      <c r="F108" s="37"/>
      <c r="G108" s="36"/>
      <c r="H108" s="18"/>
      <c r="I108" s="36"/>
      <c r="J108" s="18"/>
      <c r="K108" s="36"/>
      <c r="L108" s="36"/>
      <c r="M108" s="18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</row>
    <row r="109" spans="1:42" s="35" customFormat="1" ht="40.15" customHeight="1" x14ac:dyDescent="0.25">
      <c r="A109" s="79">
        <f t="shared" si="38"/>
        <v>107</v>
      </c>
      <c r="B109" s="27" t="s">
        <v>154</v>
      </c>
      <c r="C109" s="60" t="s">
        <v>45</v>
      </c>
      <c r="D109" s="63" t="s">
        <v>147</v>
      </c>
      <c r="E109" s="12"/>
      <c r="F109" s="37"/>
      <c r="G109" s="36"/>
      <c r="H109" s="18"/>
      <c r="I109" s="36"/>
      <c r="J109" s="18"/>
      <c r="K109" s="36"/>
      <c r="L109" s="36"/>
      <c r="M109" s="18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</row>
    <row r="110" spans="1:42" s="35" customFormat="1" ht="40.15" customHeight="1" x14ac:dyDescent="0.25">
      <c r="A110" s="79">
        <f t="shared" si="38"/>
        <v>108</v>
      </c>
      <c r="B110" s="27" t="s">
        <v>155</v>
      </c>
      <c r="C110" s="60" t="s">
        <v>45</v>
      </c>
      <c r="D110" s="63" t="s">
        <v>147</v>
      </c>
      <c r="E110" s="12"/>
      <c r="F110" s="37"/>
      <c r="G110" s="36"/>
      <c r="H110" s="18"/>
      <c r="I110" s="36"/>
      <c r="J110" s="18"/>
      <c r="K110" s="36"/>
      <c r="L110" s="36"/>
      <c r="M110" s="18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</row>
    <row r="111" spans="1:42" s="35" customFormat="1" ht="40.15" hidden="1" customHeight="1" x14ac:dyDescent="0.25">
      <c r="A111" s="79">
        <f t="shared" si="38"/>
        <v>109</v>
      </c>
      <c r="B111" s="27" t="s">
        <v>156</v>
      </c>
      <c r="C111" s="59" t="s">
        <v>106</v>
      </c>
      <c r="D111" s="63" t="s">
        <v>147</v>
      </c>
      <c r="E111" s="12"/>
      <c r="F111" s="37"/>
      <c r="G111" s="36"/>
      <c r="H111" s="18"/>
      <c r="I111" s="36"/>
      <c r="J111" s="18"/>
      <c r="K111" s="36"/>
      <c r="L111" s="36"/>
      <c r="M111" s="18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</row>
    <row r="112" spans="1:42" s="35" customFormat="1" ht="40.15" customHeight="1" x14ac:dyDescent="0.25">
      <c r="A112" s="79">
        <f t="shared" si="38"/>
        <v>110</v>
      </c>
      <c r="B112" s="27" t="s">
        <v>157</v>
      </c>
      <c r="C112" s="60" t="s">
        <v>45</v>
      </c>
      <c r="D112" s="63" t="s">
        <v>147</v>
      </c>
      <c r="E112" s="12"/>
      <c r="F112" s="38"/>
      <c r="G112" s="36"/>
      <c r="H112" s="18"/>
      <c r="I112" s="36"/>
      <c r="J112" s="18"/>
      <c r="K112" s="36"/>
      <c r="L112" s="36"/>
      <c r="M112" s="18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</row>
    <row r="113" spans="1:42" s="35" customFormat="1" ht="48" customHeight="1" x14ac:dyDescent="0.25">
      <c r="A113" s="79">
        <f t="shared" si="38"/>
        <v>111</v>
      </c>
      <c r="B113" s="81" t="s">
        <v>158</v>
      </c>
      <c r="C113" s="59" t="s">
        <v>45</v>
      </c>
      <c r="D113" s="63" t="s">
        <v>159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84"/>
    </row>
    <row r="114" spans="1:42" s="35" customFormat="1" ht="40.15" hidden="1" customHeight="1" x14ac:dyDescent="0.25">
      <c r="A114" s="79">
        <f t="shared" si="38"/>
        <v>112</v>
      </c>
      <c r="B114" s="27" t="s">
        <v>160</v>
      </c>
      <c r="C114" s="60" t="s">
        <v>47</v>
      </c>
      <c r="D114" s="63" t="s">
        <v>161</v>
      </c>
      <c r="E114" s="12"/>
      <c r="F114" s="41"/>
      <c r="G114" s="36"/>
      <c r="H114" s="16"/>
      <c r="I114" s="36"/>
      <c r="J114" s="16"/>
      <c r="K114" s="36"/>
      <c r="L114" s="36"/>
      <c r="M114" s="1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</row>
    <row r="115" spans="1:42" s="35" customFormat="1" ht="40.15" customHeight="1" x14ac:dyDescent="0.25">
      <c r="A115" s="79">
        <f t="shared" si="38"/>
        <v>113</v>
      </c>
      <c r="B115" s="27" t="s">
        <v>162</v>
      </c>
      <c r="C115" s="60" t="s">
        <v>45</v>
      </c>
      <c r="D115" s="63" t="s">
        <v>163</v>
      </c>
      <c r="E115" s="12"/>
      <c r="F115" s="36"/>
      <c r="G115" s="36"/>
      <c r="H115" s="16"/>
      <c r="I115" s="36"/>
      <c r="J115" s="16"/>
      <c r="K115" s="36"/>
      <c r="L115" s="36"/>
      <c r="M115" s="1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</row>
    <row r="116" spans="1:42" s="35" customFormat="1" ht="40.15" customHeight="1" x14ac:dyDescent="0.25">
      <c r="A116" s="79">
        <f t="shared" si="38"/>
        <v>114</v>
      </c>
      <c r="B116" s="28" t="s">
        <v>164</v>
      </c>
      <c r="C116" s="60" t="s">
        <v>45</v>
      </c>
      <c r="D116" s="62" t="s">
        <v>161</v>
      </c>
      <c r="E116" s="16"/>
      <c r="F116" s="36"/>
      <c r="G116" s="36"/>
      <c r="H116" s="16"/>
      <c r="I116" s="36"/>
      <c r="J116" s="16"/>
      <c r="K116" s="36"/>
      <c r="L116" s="36"/>
      <c r="M116" s="1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</row>
    <row r="117" spans="1:42" s="35" customFormat="1" ht="40.15" hidden="1" customHeight="1" x14ac:dyDescent="0.25">
      <c r="A117" s="79">
        <f t="shared" si="38"/>
        <v>115</v>
      </c>
      <c r="B117" s="27" t="s">
        <v>165</v>
      </c>
      <c r="C117" s="59" t="s">
        <v>166</v>
      </c>
      <c r="D117" s="63" t="s">
        <v>163</v>
      </c>
      <c r="E117" s="12"/>
      <c r="F117" s="36"/>
      <c r="G117" s="36"/>
      <c r="H117" s="16"/>
      <c r="I117" s="36"/>
      <c r="J117" s="16"/>
      <c r="K117" s="36"/>
      <c r="L117" s="36"/>
      <c r="M117" s="1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1:42" s="35" customFormat="1" ht="40.15" customHeight="1" x14ac:dyDescent="0.25">
      <c r="A118" s="79">
        <f t="shared" si="38"/>
        <v>116</v>
      </c>
      <c r="B118" s="27" t="s">
        <v>167</v>
      </c>
      <c r="C118" s="60" t="s">
        <v>45</v>
      </c>
      <c r="D118" s="63" t="s">
        <v>163</v>
      </c>
      <c r="E118" s="12"/>
      <c r="F118" s="36"/>
      <c r="G118" s="36"/>
      <c r="H118" s="16"/>
      <c r="I118" s="36"/>
      <c r="J118" s="16"/>
      <c r="K118" s="36"/>
      <c r="L118" s="36"/>
      <c r="M118" s="1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</row>
    <row r="119" spans="1:42" s="35" customFormat="1" ht="40.15" customHeight="1" x14ac:dyDescent="0.25">
      <c r="A119" s="79">
        <f t="shared" si="38"/>
        <v>117</v>
      </c>
      <c r="B119" s="29" t="s">
        <v>168</v>
      </c>
      <c r="C119" s="60" t="s">
        <v>45</v>
      </c>
      <c r="D119" s="70" t="s">
        <v>58</v>
      </c>
      <c r="E119" s="12"/>
      <c r="F119" s="36"/>
      <c r="G119" s="37"/>
      <c r="H119" s="16"/>
      <c r="I119" s="36"/>
      <c r="J119" s="16"/>
      <c r="K119" s="36"/>
      <c r="L119" s="36"/>
      <c r="M119" s="13"/>
      <c r="N119" s="36"/>
      <c r="O119" s="36"/>
      <c r="P119" s="36"/>
      <c r="Q119" s="36"/>
      <c r="R119" s="36"/>
      <c r="S119" s="36"/>
      <c r="T119" s="36"/>
      <c r="U119" s="37"/>
      <c r="V119" s="36"/>
      <c r="W119" s="37"/>
      <c r="X119" s="36"/>
      <c r="Y119" s="36"/>
      <c r="Z119" s="36"/>
      <c r="AA119" s="36"/>
      <c r="AB119" s="36"/>
      <c r="AC119" s="37"/>
      <c r="AD119" s="36"/>
      <c r="AE119" s="37"/>
      <c r="AF119" s="16"/>
      <c r="AG119" s="36"/>
      <c r="AH119" s="36"/>
      <c r="AI119" s="36"/>
      <c r="AJ119" s="36"/>
      <c r="AK119" s="36"/>
      <c r="AL119" s="37"/>
      <c r="AM119" s="36"/>
      <c r="AN119" s="36"/>
      <c r="AO119" s="37"/>
      <c r="AP119" s="36"/>
    </row>
    <row r="120" spans="1:42" s="35" customFormat="1" ht="40.15" customHeight="1" x14ac:dyDescent="0.25">
      <c r="A120" s="79">
        <f t="shared" si="38"/>
        <v>118</v>
      </c>
      <c r="B120" s="27" t="s">
        <v>169</v>
      </c>
      <c r="C120" s="60" t="s">
        <v>45</v>
      </c>
      <c r="D120" s="63" t="s">
        <v>119</v>
      </c>
      <c r="E120" s="16"/>
      <c r="F120" s="36"/>
      <c r="G120" s="36"/>
      <c r="H120" s="16"/>
      <c r="I120" s="36"/>
      <c r="J120" s="16"/>
      <c r="K120" s="37"/>
      <c r="L120" s="41"/>
      <c r="M120" s="1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</row>
    <row r="121" spans="1:42" s="35" customFormat="1" ht="40.15" customHeight="1" x14ac:dyDescent="0.25">
      <c r="A121" s="79">
        <f t="shared" si="38"/>
        <v>119</v>
      </c>
      <c r="B121" s="81" t="s">
        <v>170</v>
      </c>
      <c r="C121" s="59" t="s">
        <v>45</v>
      </c>
      <c r="D121" s="63" t="s">
        <v>171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84"/>
    </row>
    <row r="122" spans="1:42" s="35" customFormat="1" ht="40.15" customHeight="1" x14ac:dyDescent="0.25">
      <c r="A122" s="79">
        <f t="shared" si="38"/>
        <v>120</v>
      </c>
      <c r="B122" s="29" t="s">
        <v>172</v>
      </c>
      <c r="C122" s="60" t="s">
        <v>45</v>
      </c>
      <c r="D122" s="71" t="s">
        <v>104</v>
      </c>
      <c r="E122" s="12"/>
      <c r="F122" s="38"/>
      <c r="G122" s="36"/>
      <c r="H122" s="16"/>
      <c r="I122" s="36"/>
      <c r="J122" s="37"/>
      <c r="K122" s="36"/>
      <c r="L122" s="36"/>
      <c r="M122" s="1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</row>
    <row r="123" spans="1:42" s="35" customFormat="1" ht="40.15" customHeight="1" x14ac:dyDescent="0.25">
      <c r="A123" s="79">
        <f t="shared" si="38"/>
        <v>121</v>
      </c>
      <c r="B123" s="29" t="s">
        <v>173</v>
      </c>
      <c r="C123" s="60" t="s">
        <v>45</v>
      </c>
      <c r="D123" s="70" t="s">
        <v>174</v>
      </c>
      <c r="E123" s="12"/>
      <c r="F123" s="36"/>
      <c r="G123" s="36"/>
      <c r="H123" s="16"/>
      <c r="I123" s="36"/>
      <c r="J123" s="37"/>
      <c r="K123" s="36"/>
      <c r="L123" s="41"/>
      <c r="M123" s="16"/>
      <c r="N123" s="36"/>
      <c r="O123" s="36"/>
      <c r="P123" s="36"/>
      <c r="Q123" s="36"/>
      <c r="R123" s="36"/>
      <c r="S123" s="36"/>
      <c r="T123" s="36"/>
      <c r="U123" s="37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7"/>
      <c r="AN123" s="36"/>
      <c r="AO123" s="36"/>
      <c r="AP123" s="36"/>
    </row>
    <row r="124" spans="1:42" s="35" customFormat="1" ht="40.15" customHeight="1" x14ac:dyDescent="0.25">
      <c r="A124" s="79">
        <f t="shared" si="38"/>
        <v>122</v>
      </c>
      <c r="B124" s="29" t="s">
        <v>173</v>
      </c>
      <c r="C124" s="60" t="s">
        <v>45</v>
      </c>
      <c r="D124" s="70" t="s">
        <v>174</v>
      </c>
      <c r="E124" s="12"/>
      <c r="F124" s="36"/>
      <c r="G124" s="36"/>
      <c r="H124" s="16"/>
      <c r="I124" s="36"/>
      <c r="J124" s="37"/>
      <c r="K124" s="36"/>
      <c r="L124" s="41"/>
      <c r="M124" s="16"/>
      <c r="N124" s="36"/>
      <c r="O124" s="36"/>
      <c r="P124" s="36"/>
      <c r="Q124" s="36"/>
      <c r="R124" s="36"/>
      <c r="S124" s="36"/>
      <c r="T124" s="36"/>
      <c r="U124" s="37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7"/>
      <c r="AN124" s="36"/>
      <c r="AO124" s="36"/>
      <c r="AP124" s="36"/>
    </row>
    <row r="125" spans="1:42" s="35" customFormat="1" ht="40.15" hidden="1" customHeight="1" x14ac:dyDescent="0.25">
      <c r="A125" s="79">
        <f t="shared" si="38"/>
        <v>123</v>
      </c>
      <c r="B125" s="27" t="s">
        <v>175</v>
      </c>
      <c r="C125" s="59" t="s">
        <v>73</v>
      </c>
      <c r="D125" s="63" t="s">
        <v>119</v>
      </c>
      <c r="E125" s="12"/>
      <c r="F125" s="41"/>
      <c r="G125" s="36"/>
      <c r="H125" s="16"/>
      <c r="I125" s="36"/>
      <c r="J125" s="16"/>
      <c r="K125" s="37"/>
      <c r="L125" s="36"/>
      <c r="M125" s="1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</row>
    <row r="126" spans="1:42" s="35" customFormat="1" ht="40.15" hidden="1" customHeight="1" x14ac:dyDescent="0.25">
      <c r="A126" s="79">
        <f t="shared" si="38"/>
        <v>124</v>
      </c>
      <c r="B126" s="30" t="s">
        <v>176</v>
      </c>
      <c r="C126" s="65" t="s">
        <v>73</v>
      </c>
      <c r="D126" s="72" t="s">
        <v>177</v>
      </c>
      <c r="E126" s="12"/>
      <c r="F126" s="41"/>
      <c r="G126" s="36"/>
      <c r="H126" s="16"/>
      <c r="I126" s="36"/>
      <c r="J126" s="36"/>
      <c r="K126" s="36"/>
      <c r="L126" s="36"/>
      <c r="M126" s="1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</row>
    <row r="127" spans="1:42" s="35" customFormat="1" ht="40.15" hidden="1" customHeight="1" x14ac:dyDescent="0.25">
      <c r="A127" s="79">
        <f t="shared" si="38"/>
        <v>125</v>
      </c>
      <c r="B127" s="27" t="s">
        <v>178</v>
      </c>
      <c r="C127" s="60" t="s">
        <v>47</v>
      </c>
      <c r="D127" s="63" t="s">
        <v>179</v>
      </c>
      <c r="E127" s="12"/>
      <c r="F127" s="41"/>
      <c r="G127" s="36"/>
      <c r="H127" s="16"/>
      <c r="I127" s="36"/>
      <c r="J127" s="16"/>
      <c r="K127" s="36"/>
      <c r="L127" s="36"/>
      <c r="M127" s="1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</row>
    <row r="128" spans="1:42" s="35" customFormat="1" ht="40.15" customHeight="1" x14ac:dyDescent="0.25">
      <c r="A128" s="79">
        <f t="shared" si="38"/>
        <v>126</v>
      </c>
      <c r="B128" s="27" t="s">
        <v>180</v>
      </c>
      <c r="C128" s="59" t="s">
        <v>45</v>
      </c>
      <c r="D128" s="63"/>
      <c r="E128" s="12"/>
      <c r="F128" s="36"/>
      <c r="G128" s="36"/>
      <c r="H128" s="16"/>
      <c r="I128" s="36"/>
      <c r="J128" s="16"/>
      <c r="K128" s="36"/>
      <c r="L128" s="36"/>
      <c r="M128" s="1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8"/>
      <c r="AP128" s="36"/>
    </row>
    <row r="129" spans="1:42" s="35" customFormat="1" ht="40.15" customHeight="1" x14ac:dyDescent="0.25">
      <c r="A129" s="79">
        <f t="shared" si="38"/>
        <v>127</v>
      </c>
      <c r="B129" s="28" t="s">
        <v>181</v>
      </c>
      <c r="C129" s="60" t="s">
        <v>45</v>
      </c>
      <c r="D129" s="62"/>
      <c r="E129" s="12"/>
      <c r="F129" s="36"/>
      <c r="G129" s="36"/>
      <c r="H129" s="16"/>
      <c r="I129" s="36"/>
      <c r="J129" s="16"/>
      <c r="K129" s="36"/>
      <c r="L129" s="36"/>
      <c r="M129" s="1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</row>
    <row r="130" spans="1:42" s="35" customFormat="1" ht="40.15" customHeight="1" x14ac:dyDescent="0.25">
      <c r="A130" s="79">
        <f t="shared" si="38"/>
        <v>128</v>
      </c>
      <c r="B130" s="27" t="s">
        <v>182</v>
      </c>
      <c r="C130" s="60" t="s">
        <v>45</v>
      </c>
      <c r="D130" s="63" t="s">
        <v>163</v>
      </c>
      <c r="E130" s="12"/>
      <c r="F130" s="36"/>
      <c r="G130" s="36"/>
      <c r="H130" s="16"/>
      <c r="I130" s="36"/>
      <c r="J130" s="16"/>
      <c r="K130" s="36"/>
      <c r="L130" s="36"/>
      <c r="M130" s="1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7"/>
      <c r="AM130" s="36"/>
      <c r="AN130" s="36"/>
      <c r="AO130" s="36"/>
      <c r="AP130" s="36"/>
    </row>
    <row r="131" spans="1:42" s="35" customFormat="1" ht="40.15" customHeight="1" x14ac:dyDescent="0.25">
      <c r="A131" s="79">
        <f t="shared" si="38"/>
        <v>129</v>
      </c>
      <c r="B131" s="27" t="s">
        <v>183</v>
      </c>
      <c r="C131" s="60" t="s">
        <v>45</v>
      </c>
      <c r="D131" s="62" t="s">
        <v>53</v>
      </c>
      <c r="E131" s="12"/>
      <c r="F131" s="36"/>
      <c r="G131" s="36"/>
      <c r="H131" s="17"/>
      <c r="I131" s="36"/>
      <c r="J131" s="17"/>
      <c r="K131" s="36"/>
      <c r="L131" s="36"/>
      <c r="M131" s="17"/>
      <c r="N131" s="36"/>
      <c r="O131" s="36"/>
      <c r="P131" s="36"/>
      <c r="Q131" s="36"/>
      <c r="R131" s="36"/>
      <c r="S131" s="36"/>
      <c r="T131" s="36"/>
      <c r="U131" s="36"/>
      <c r="V131" s="36"/>
      <c r="W131" s="37"/>
      <c r="X131" s="36"/>
      <c r="Y131" s="37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7"/>
      <c r="AN131" s="36"/>
      <c r="AO131" s="37"/>
      <c r="AP131" s="36"/>
    </row>
    <row r="132" spans="1:42" s="35" customFormat="1" ht="40.15" customHeight="1" x14ac:dyDescent="0.25">
      <c r="A132" s="79">
        <f t="shared" si="38"/>
        <v>130</v>
      </c>
      <c r="B132" s="29" t="s">
        <v>184</v>
      </c>
      <c r="C132" s="60" t="s">
        <v>45</v>
      </c>
      <c r="D132" s="62" t="s">
        <v>53</v>
      </c>
      <c r="E132" s="12"/>
      <c r="F132" s="36"/>
      <c r="G132" s="36"/>
      <c r="H132" s="16"/>
      <c r="I132" s="36"/>
      <c r="J132" s="16"/>
      <c r="K132" s="36"/>
      <c r="L132" s="36"/>
      <c r="M132" s="1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7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7"/>
      <c r="AM132" s="36"/>
      <c r="AN132" s="36"/>
      <c r="AO132" s="36"/>
      <c r="AP132" s="36"/>
    </row>
    <row r="133" spans="1:42" s="35" customFormat="1" ht="40.15" customHeight="1" x14ac:dyDescent="0.25">
      <c r="A133" s="79">
        <f t="shared" si="38"/>
        <v>131</v>
      </c>
      <c r="B133" s="29" t="s">
        <v>184</v>
      </c>
      <c r="C133" s="60" t="s">
        <v>45</v>
      </c>
      <c r="D133" s="62" t="s">
        <v>53</v>
      </c>
      <c r="E133" s="12"/>
      <c r="F133" s="36"/>
      <c r="G133" s="36"/>
      <c r="H133" s="16"/>
      <c r="I133" s="36"/>
      <c r="J133" s="16"/>
      <c r="K133" s="36"/>
      <c r="L133" s="36"/>
      <c r="M133" s="1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7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</row>
    <row r="134" spans="1:42" s="35" customFormat="1" ht="40.15" hidden="1" customHeight="1" x14ac:dyDescent="0.25">
      <c r="A134" s="79">
        <f t="shared" si="38"/>
        <v>132</v>
      </c>
      <c r="B134" s="30" t="s">
        <v>185</v>
      </c>
      <c r="C134" s="60" t="s">
        <v>47</v>
      </c>
      <c r="D134" s="72" t="s">
        <v>53</v>
      </c>
      <c r="E134" s="12"/>
      <c r="F134" s="36"/>
      <c r="G134" s="36"/>
      <c r="H134" s="16"/>
      <c r="I134" s="36"/>
      <c r="J134" s="16"/>
      <c r="K134" s="36"/>
      <c r="L134" s="36"/>
      <c r="M134" s="1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</row>
    <row r="135" spans="1:42" s="35" customFormat="1" ht="39.6" hidden="1" customHeight="1" x14ac:dyDescent="0.25">
      <c r="A135" s="79">
        <f t="shared" si="38"/>
        <v>133</v>
      </c>
      <c r="B135" s="28" t="s">
        <v>186</v>
      </c>
      <c r="C135" s="60" t="s">
        <v>73</v>
      </c>
      <c r="D135" s="62" t="s">
        <v>187</v>
      </c>
      <c r="E135" s="12"/>
      <c r="F135" s="36"/>
      <c r="G135" s="36"/>
      <c r="H135" s="16"/>
      <c r="I135" s="36"/>
      <c r="J135" s="16"/>
      <c r="K135" s="36"/>
      <c r="L135" s="36"/>
      <c r="M135" s="1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</row>
    <row r="136" spans="1:42" s="35" customFormat="1" ht="40.15" hidden="1" customHeight="1" x14ac:dyDescent="0.25">
      <c r="A136" s="79">
        <f t="shared" si="38"/>
        <v>134</v>
      </c>
      <c r="B136" s="14" t="s">
        <v>188</v>
      </c>
      <c r="C136" s="60" t="s">
        <v>47</v>
      </c>
      <c r="D136" s="72" t="s">
        <v>53</v>
      </c>
      <c r="E136" s="12"/>
      <c r="F136" s="36"/>
      <c r="G136" s="37"/>
      <c r="H136" s="16"/>
      <c r="I136" s="36"/>
      <c r="J136" s="16"/>
      <c r="K136" s="36"/>
      <c r="L136" s="36"/>
      <c r="M136" s="16"/>
      <c r="N136" s="36"/>
      <c r="O136" s="36"/>
      <c r="P136" s="36"/>
      <c r="Q136" s="36"/>
      <c r="R136" s="36"/>
      <c r="S136" s="36"/>
      <c r="T136" s="36"/>
      <c r="U136" s="36"/>
      <c r="V136" s="36"/>
      <c r="W136" s="37"/>
      <c r="X136" s="36"/>
      <c r="Y136" s="37"/>
      <c r="Z136" s="36"/>
      <c r="AA136" s="36"/>
      <c r="AB136" s="36"/>
      <c r="AC136" s="36"/>
      <c r="AD136" s="37"/>
      <c r="AE136" s="36"/>
      <c r="AF136" s="36"/>
      <c r="AG136" s="36"/>
      <c r="AH136" s="36"/>
      <c r="AI136" s="36"/>
      <c r="AJ136" s="36"/>
      <c r="AK136" s="36"/>
      <c r="AL136" s="37"/>
      <c r="AM136" s="37"/>
      <c r="AN136" s="36"/>
      <c r="AO136" s="37"/>
      <c r="AP136" s="36"/>
    </row>
    <row r="137" spans="1:42" s="35" customFormat="1" ht="40.15" customHeight="1" x14ac:dyDescent="0.25">
      <c r="A137" s="79">
        <f t="shared" si="38"/>
        <v>135</v>
      </c>
      <c r="B137" s="17" t="s">
        <v>459</v>
      </c>
      <c r="C137" s="60" t="s">
        <v>45</v>
      </c>
      <c r="D137" s="72" t="s">
        <v>460</v>
      </c>
      <c r="E137" s="16"/>
      <c r="F137" s="36"/>
      <c r="G137" s="37"/>
      <c r="H137" s="16"/>
      <c r="I137" s="36"/>
      <c r="J137" s="16"/>
      <c r="K137" s="36"/>
      <c r="L137" s="36"/>
      <c r="M137" s="1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</row>
    <row r="138" spans="1:42" s="35" customFormat="1" ht="40.15" customHeight="1" x14ac:dyDescent="0.25">
      <c r="A138" s="79">
        <f t="shared" ref="A138" si="39">A137+1</f>
        <v>136</v>
      </c>
      <c r="B138" s="27" t="s">
        <v>189</v>
      </c>
      <c r="C138" s="60" t="s">
        <v>45</v>
      </c>
      <c r="D138" s="63" t="s">
        <v>119</v>
      </c>
      <c r="E138" s="12"/>
      <c r="F138" s="41"/>
      <c r="G138" s="36"/>
      <c r="H138" s="16"/>
      <c r="I138" s="36"/>
      <c r="J138" s="16"/>
      <c r="K138" s="37"/>
      <c r="L138" s="36"/>
      <c r="M138" s="1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7"/>
      <c r="AM138" s="36"/>
      <c r="AN138" s="36"/>
      <c r="AO138" s="36"/>
      <c r="AP138" s="36"/>
    </row>
    <row r="139" spans="1:42" s="35" customFormat="1" ht="40.15" customHeight="1" x14ac:dyDescent="0.25">
      <c r="A139" s="79">
        <f t="shared" ref="A139:A201" si="40">A138+1</f>
        <v>137</v>
      </c>
      <c r="B139" s="81" t="s">
        <v>190</v>
      </c>
      <c r="C139" s="59" t="s">
        <v>45</v>
      </c>
      <c r="D139" s="63" t="s">
        <v>53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84"/>
    </row>
    <row r="140" spans="1:42" s="35" customFormat="1" ht="40.15" customHeight="1" x14ac:dyDescent="0.25">
      <c r="A140" s="79">
        <f t="shared" si="40"/>
        <v>138</v>
      </c>
      <c r="B140" s="27" t="s">
        <v>191</v>
      </c>
      <c r="C140" s="60" t="s">
        <v>45</v>
      </c>
      <c r="D140" s="63" t="s">
        <v>192</v>
      </c>
      <c r="E140" s="12"/>
      <c r="F140" s="41"/>
      <c r="G140" s="36"/>
      <c r="H140" s="16"/>
      <c r="I140" s="36"/>
      <c r="J140" s="16"/>
      <c r="K140" s="36"/>
      <c r="L140" s="36"/>
      <c r="M140" s="16"/>
      <c r="N140" s="36"/>
      <c r="O140" s="36"/>
      <c r="P140" s="37"/>
      <c r="Q140" s="41"/>
      <c r="R140" s="36"/>
      <c r="S140" s="37"/>
      <c r="T140" s="37"/>
      <c r="U140" s="36"/>
      <c r="V140" s="36"/>
      <c r="W140" s="36"/>
      <c r="X140" s="36"/>
      <c r="Y140" s="36"/>
      <c r="Z140" s="36"/>
      <c r="AA140" s="36"/>
      <c r="AB140" s="36"/>
      <c r="AC140" s="37"/>
      <c r="AD140" s="37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</row>
    <row r="141" spans="1:42" s="35" customFormat="1" ht="40.15" hidden="1" customHeight="1" x14ac:dyDescent="0.25">
      <c r="A141" s="79">
        <f t="shared" si="40"/>
        <v>139</v>
      </c>
      <c r="B141" s="28" t="s">
        <v>193</v>
      </c>
      <c r="C141" s="60" t="str">
        <f>[1]GERAL!$L$2</f>
        <v>BA</v>
      </c>
      <c r="D141" s="62" t="s">
        <v>53</v>
      </c>
      <c r="E141" s="12"/>
      <c r="F141" s="41"/>
      <c r="G141" s="36"/>
      <c r="H141" s="16"/>
      <c r="I141" s="36"/>
      <c r="J141" s="16"/>
      <c r="K141" s="36"/>
      <c r="L141" s="36"/>
      <c r="M141" s="37"/>
      <c r="N141" s="36"/>
      <c r="O141" s="37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</row>
    <row r="142" spans="1:42" s="35" customFormat="1" ht="40.15" customHeight="1" x14ac:dyDescent="0.25">
      <c r="A142" s="79">
        <f t="shared" si="40"/>
        <v>140</v>
      </c>
      <c r="B142" s="27" t="s">
        <v>194</v>
      </c>
      <c r="C142" s="59" t="s">
        <v>45</v>
      </c>
      <c r="D142" s="63"/>
      <c r="E142" s="12"/>
      <c r="F142" s="41"/>
      <c r="G142" s="36"/>
      <c r="H142" s="18"/>
      <c r="I142" s="36"/>
      <c r="J142" s="18"/>
      <c r="K142" s="36"/>
      <c r="L142" s="36"/>
      <c r="M142" s="18"/>
      <c r="N142" s="36"/>
      <c r="O142" s="36"/>
      <c r="P142" s="36"/>
      <c r="Q142" s="36"/>
      <c r="R142" s="36"/>
      <c r="S142" s="36"/>
      <c r="T142" s="36"/>
      <c r="U142" s="36"/>
      <c r="V142" s="36"/>
      <c r="W142" s="37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7"/>
      <c r="AM142" s="36"/>
      <c r="AN142" s="36"/>
      <c r="AO142" s="36"/>
      <c r="AP142" s="36"/>
    </row>
    <row r="143" spans="1:42" s="35" customFormat="1" ht="40.15" customHeight="1" x14ac:dyDescent="0.25">
      <c r="A143" s="79">
        <f t="shared" si="40"/>
        <v>141</v>
      </c>
      <c r="B143" s="28" t="s">
        <v>195</v>
      </c>
      <c r="C143" s="60" t="s">
        <v>45</v>
      </c>
      <c r="D143" s="62"/>
      <c r="E143" s="12"/>
      <c r="F143" s="36"/>
      <c r="G143" s="36"/>
      <c r="H143" s="16"/>
      <c r="I143" s="36"/>
      <c r="J143" s="16"/>
      <c r="K143" s="36"/>
      <c r="L143" s="36"/>
      <c r="M143" s="1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</row>
    <row r="144" spans="1:42" s="35" customFormat="1" ht="40.15" hidden="1" customHeight="1" x14ac:dyDescent="0.25">
      <c r="A144" s="79">
        <f t="shared" si="40"/>
        <v>142</v>
      </c>
      <c r="B144" s="27" t="s">
        <v>196</v>
      </c>
      <c r="C144" s="59" t="s">
        <v>106</v>
      </c>
      <c r="D144" s="63" t="s">
        <v>197</v>
      </c>
      <c r="E144" s="12"/>
      <c r="F144" s="36"/>
      <c r="G144" s="36"/>
      <c r="H144" s="16"/>
      <c r="I144" s="36"/>
      <c r="J144" s="16"/>
      <c r="K144" s="36"/>
      <c r="L144" s="36"/>
      <c r="M144" s="16"/>
      <c r="N144" s="36"/>
      <c r="O144" s="36"/>
      <c r="P144" s="36"/>
      <c r="Q144" s="36"/>
      <c r="R144" s="36"/>
      <c r="S144" s="36"/>
      <c r="T144" s="36"/>
      <c r="U144" s="36"/>
      <c r="V144" s="36"/>
      <c r="W144" s="37"/>
      <c r="X144" s="36"/>
      <c r="Y144" s="36"/>
      <c r="Z144" s="36"/>
      <c r="AA144" s="36"/>
      <c r="AB144" s="36"/>
      <c r="AC144" s="36"/>
      <c r="AD144" s="36"/>
      <c r="AE144" s="37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</row>
    <row r="145" spans="1:42" s="35" customFormat="1" ht="40.15" customHeight="1" x14ac:dyDescent="0.25">
      <c r="A145" s="79">
        <f t="shared" si="40"/>
        <v>143</v>
      </c>
      <c r="B145" s="27" t="s">
        <v>198</v>
      </c>
      <c r="C145" s="60" t="s">
        <v>45</v>
      </c>
      <c r="D145" s="63" t="s">
        <v>197</v>
      </c>
      <c r="E145" s="37"/>
      <c r="F145" s="36"/>
      <c r="G145" s="36"/>
      <c r="H145" s="16"/>
      <c r="I145" s="36"/>
      <c r="J145" s="16"/>
      <c r="K145" s="36"/>
      <c r="L145" s="36"/>
      <c r="M145" s="23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8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</row>
    <row r="146" spans="1:42" s="35" customFormat="1" ht="40.15" hidden="1" customHeight="1" x14ac:dyDescent="0.25">
      <c r="A146" s="79">
        <f t="shared" si="40"/>
        <v>144</v>
      </c>
      <c r="B146" s="27" t="s">
        <v>199</v>
      </c>
      <c r="C146" s="59" t="s">
        <v>106</v>
      </c>
      <c r="D146" s="63" t="s">
        <v>200</v>
      </c>
      <c r="E146" s="12"/>
      <c r="F146" s="36"/>
      <c r="G146" s="36"/>
      <c r="H146" s="16"/>
      <c r="I146" s="36"/>
      <c r="J146" s="16"/>
      <c r="K146" s="36"/>
      <c r="L146" s="36"/>
      <c r="M146" s="1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7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8"/>
      <c r="AP146" s="36"/>
    </row>
    <row r="147" spans="1:42" s="35" customFormat="1" ht="40.15" hidden="1" customHeight="1" x14ac:dyDescent="0.25">
      <c r="A147" s="79">
        <f t="shared" si="40"/>
        <v>145</v>
      </c>
      <c r="B147" s="28" t="s">
        <v>201</v>
      </c>
      <c r="C147" s="60" t="s">
        <v>73</v>
      </c>
      <c r="D147" s="62" t="s">
        <v>202</v>
      </c>
      <c r="E147" s="12"/>
      <c r="F147" s="36"/>
      <c r="G147" s="36"/>
      <c r="H147" s="16"/>
      <c r="I147" s="36"/>
      <c r="J147" s="16"/>
      <c r="K147" s="36"/>
      <c r="L147" s="36"/>
      <c r="M147" s="1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</row>
    <row r="148" spans="1:42" s="35" customFormat="1" ht="40.15" customHeight="1" x14ac:dyDescent="0.25">
      <c r="A148" s="79">
        <f t="shared" si="40"/>
        <v>146</v>
      </c>
      <c r="B148" s="81" t="s">
        <v>203</v>
      </c>
      <c r="C148" s="59" t="s">
        <v>45</v>
      </c>
      <c r="D148" s="63" t="s">
        <v>204</v>
      </c>
      <c r="E148" s="95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84"/>
    </row>
    <row r="149" spans="1:42" s="35" customFormat="1" ht="40.15" customHeight="1" x14ac:dyDescent="0.25">
      <c r="A149" s="79">
        <f t="shared" si="40"/>
        <v>147</v>
      </c>
      <c r="B149" s="27" t="s">
        <v>205</v>
      </c>
      <c r="C149" s="59" t="s">
        <v>45</v>
      </c>
      <c r="D149" s="63"/>
      <c r="E149" s="12"/>
      <c r="F149" s="36"/>
      <c r="G149" s="36"/>
      <c r="H149" s="16"/>
      <c r="I149" s="36"/>
      <c r="J149" s="16"/>
      <c r="K149" s="36"/>
      <c r="L149" s="36"/>
      <c r="M149" s="16"/>
      <c r="N149" s="36"/>
      <c r="O149" s="36"/>
      <c r="P149" s="36"/>
      <c r="Q149" s="36"/>
      <c r="R149" s="36"/>
      <c r="S149" s="36"/>
      <c r="T149" s="36"/>
      <c r="U149" s="37"/>
      <c r="V149" s="36"/>
      <c r="W149" s="37"/>
      <c r="X149" s="36"/>
      <c r="Y149" s="36"/>
      <c r="Z149" s="37"/>
      <c r="AA149" s="36"/>
      <c r="AB149" s="36"/>
      <c r="AC149" s="36"/>
      <c r="AD149" s="36"/>
      <c r="AE149" s="37"/>
      <c r="AF149" s="36"/>
      <c r="AG149" s="36"/>
      <c r="AH149" s="36"/>
      <c r="AI149" s="36"/>
      <c r="AJ149" s="36"/>
      <c r="AK149" s="36"/>
      <c r="AL149" s="36"/>
      <c r="AM149" s="37"/>
      <c r="AN149" s="36"/>
      <c r="AO149" s="37"/>
      <c r="AP149" s="36"/>
    </row>
    <row r="150" spans="1:42" s="35" customFormat="1" ht="40.15" customHeight="1" x14ac:dyDescent="0.25">
      <c r="A150" s="79">
        <f t="shared" si="40"/>
        <v>148</v>
      </c>
      <c r="B150" s="27" t="s">
        <v>206</v>
      </c>
      <c r="C150" s="60" t="s">
        <v>45</v>
      </c>
      <c r="D150" s="63" t="s">
        <v>147</v>
      </c>
      <c r="E150" s="12"/>
      <c r="F150" s="38"/>
      <c r="G150" s="38"/>
      <c r="H150" s="16"/>
      <c r="I150" s="36"/>
      <c r="J150" s="16"/>
      <c r="K150" s="36"/>
      <c r="L150" s="36"/>
      <c r="M150" s="16"/>
      <c r="N150" s="36"/>
      <c r="O150" s="36"/>
      <c r="P150" s="36"/>
      <c r="Q150" s="36"/>
      <c r="R150" s="36"/>
      <c r="S150" s="36"/>
      <c r="T150" s="36"/>
      <c r="U150" s="36"/>
      <c r="V150" s="36"/>
      <c r="W150" s="38"/>
      <c r="X150" s="36"/>
      <c r="Y150" s="36"/>
      <c r="Z150" s="37"/>
      <c r="AA150" s="37"/>
      <c r="AB150" s="36"/>
      <c r="AC150" s="36"/>
      <c r="AD150" s="36"/>
      <c r="AE150" s="37"/>
      <c r="AF150" s="37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</row>
    <row r="151" spans="1:42" s="35" customFormat="1" ht="40.15" customHeight="1" x14ac:dyDescent="0.25">
      <c r="A151" s="79">
        <f t="shared" si="40"/>
        <v>149</v>
      </c>
      <c r="B151" s="27" t="s">
        <v>206</v>
      </c>
      <c r="C151" s="60" t="s">
        <v>45</v>
      </c>
      <c r="D151" s="63" t="s">
        <v>147</v>
      </c>
      <c r="E151" s="16"/>
      <c r="F151" s="36"/>
      <c r="G151" s="36"/>
      <c r="H151" s="16"/>
      <c r="I151" s="36"/>
      <c r="J151" s="16"/>
      <c r="K151" s="36"/>
      <c r="L151" s="36"/>
      <c r="M151" s="1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7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</row>
    <row r="152" spans="1:42" s="35" customFormat="1" ht="40.15" customHeight="1" x14ac:dyDescent="0.25">
      <c r="A152" s="79">
        <f t="shared" si="40"/>
        <v>150</v>
      </c>
      <c r="B152" s="78" t="s">
        <v>207</v>
      </c>
      <c r="C152" s="60" t="s">
        <v>45</v>
      </c>
      <c r="D152" s="63" t="s">
        <v>104</v>
      </c>
      <c r="E152" s="12"/>
      <c r="F152" s="37"/>
      <c r="G152" s="37"/>
      <c r="H152" s="16"/>
      <c r="I152" s="36"/>
      <c r="J152" s="13"/>
      <c r="K152" s="36"/>
      <c r="L152" s="36"/>
      <c r="M152" s="1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7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</row>
    <row r="153" spans="1:42" s="35" customFormat="1" ht="40.15" hidden="1" customHeight="1" x14ac:dyDescent="0.25">
      <c r="A153" s="79">
        <f t="shared" si="40"/>
        <v>151</v>
      </c>
      <c r="B153" s="28" t="s">
        <v>208</v>
      </c>
      <c r="C153" s="59" t="s">
        <v>166</v>
      </c>
      <c r="D153" s="62" t="s">
        <v>209</v>
      </c>
      <c r="E153" s="12"/>
      <c r="F153" s="41"/>
      <c r="G153" s="36"/>
      <c r="H153" s="16"/>
      <c r="I153" s="36"/>
      <c r="J153" s="16"/>
      <c r="K153" s="36"/>
      <c r="L153" s="36"/>
      <c r="M153" s="1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</row>
    <row r="154" spans="1:42" s="35" customFormat="1" ht="40.15" customHeight="1" x14ac:dyDescent="0.25">
      <c r="A154" s="79">
        <f t="shared" si="40"/>
        <v>152</v>
      </c>
      <c r="B154" s="27" t="s">
        <v>210</v>
      </c>
      <c r="C154" s="60" t="s">
        <v>45</v>
      </c>
      <c r="D154" s="63" t="s">
        <v>104</v>
      </c>
      <c r="E154" s="12"/>
      <c r="F154" s="37"/>
      <c r="G154" s="36"/>
      <c r="H154" s="13"/>
      <c r="I154" s="36"/>
      <c r="J154" s="13"/>
      <c r="K154" s="36"/>
      <c r="L154" s="36"/>
      <c r="M154" s="1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7"/>
      <c r="AG154" s="36"/>
      <c r="AH154" s="36"/>
      <c r="AI154" s="36"/>
      <c r="AJ154" s="36"/>
      <c r="AK154" s="36"/>
      <c r="AL154" s="36"/>
      <c r="AM154" s="36"/>
      <c r="AN154" s="36"/>
      <c r="AO154" s="37"/>
      <c r="AP154" s="36"/>
    </row>
    <row r="155" spans="1:42" s="35" customFormat="1" ht="40.15" customHeight="1" x14ac:dyDescent="0.25">
      <c r="A155" s="79">
        <f t="shared" si="40"/>
        <v>153</v>
      </c>
      <c r="B155" s="27" t="s">
        <v>211</v>
      </c>
      <c r="C155" s="59" t="s">
        <v>45</v>
      </c>
      <c r="D155" s="63" t="s">
        <v>76</v>
      </c>
      <c r="E155" s="12"/>
      <c r="F155" s="36"/>
      <c r="G155" s="36"/>
      <c r="H155" s="16"/>
      <c r="I155" s="36"/>
      <c r="J155" s="16"/>
      <c r="K155" s="36"/>
      <c r="L155" s="36"/>
      <c r="M155" s="1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</row>
    <row r="156" spans="1:42" s="35" customFormat="1" ht="40.15" customHeight="1" x14ac:dyDescent="0.25">
      <c r="A156" s="79">
        <f t="shared" si="40"/>
        <v>154</v>
      </c>
      <c r="B156" s="27" t="s">
        <v>212</v>
      </c>
      <c r="C156" s="60" t="s">
        <v>45</v>
      </c>
      <c r="D156" s="63" t="s">
        <v>78</v>
      </c>
      <c r="E156" s="12"/>
      <c r="F156" s="36"/>
      <c r="G156" s="36"/>
      <c r="H156" s="16"/>
      <c r="I156" s="36"/>
      <c r="J156" s="16"/>
      <c r="K156" s="36"/>
      <c r="L156" s="36"/>
      <c r="M156" s="16"/>
      <c r="N156" s="36"/>
      <c r="O156" s="36"/>
      <c r="P156" s="36"/>
      <c r="Q156" s="36"/>
      <c r="R156" s="36"/>
      <c r="S156" s="36"/>
      <c r="T156" s="36"/>
      <c r="U156" s="38"/>
      <c r="V156" s="36"/>
      <c r="W156" s="36"/>
      <c r="X156" s="36"/>
      <c r="Y156" s="36"/>
      <c r="Z156" s="37"/>
      <c r="AA156" s="36"/>
      <c r="AB156" s="36"/>
      <c r="AC156" s="37"/>
      <c r="AD156" s="36"/>
      <c r="AE156" s="36"/>
      <c r="AF156" s="36"/>
      <c r="AG156" s="36"/>
      <c r="AH156" s="36"/>
      <c r="AI156" s="36"/>
      <c r="AJ156" s="36"/>
      <c r="AK156" s="36"/>
      <c r="AL156" s="37"/>
      <c r="AM156" s="36"/>
      <c r="AN156" s="36"/>
      <c r="AO156" s="36"/>
      <c r="AP156" s="36"/>
    </row>
    <row r="157" spans="1:42" s="35" customFormat="1" ht="40.15" customHeight="1" x14ac:dyDescent="0.25">
      <c r="A157" s="79">
        <f t="shared" si="40"/>
        <v>155</v>
      </c>
      <c r="B157" s="27" t="s">
        <v>213</v>
      </c>
      <c r="C157" s="60" t="s">
        <v>45</v>
      </c>
      <c r="D157" s="63" t="s">
        <v>209</v>
      </c>
      <c r="E157" s="16"/>
      <c r="F157" s="36"/>
      <c r="G157" s="36"/>
      <c r="H157" s="16"/>
      <c r="I157" s="36"/>
      <c r="J157" s="16"/>
      <c r="K157" s="36"/>
      <c r="L157" s="36"/>
      <c r="M157" s="1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</row>
    <row r="158" spans="1:42" s="35" customFormat="1" ht="40.15" customHeight="1" x14ac:dyDescent="0.25">
      <c r="A158" s="79">
        <f t="shared" si="40"/>
        <v>156</v>
      </c>
      <c r="B158" s="27" t="s">
        <v>214</v>
      </c>
      <c r="C158" s="60" t="s">
        <v>45</v>
      </c>
      <c r="D158" s="63" t="s">
        <v>209</v>
      </c>
      <c r="E158" s="16"/>
      <c r="F158" s="36"/>
      <c r="G158" s="36"/>
      <c r="H158" s="16"/>
      <c r="I158" s="36"/>
      <c r="J158" s="16"/>
      <c r="K158" s="36"/>
      <c r="L158" s="36"/>
      <c r="M158" s="1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</row>
    <row r="159" spans="1:42" s="35" customFormat="1" ht="40.15" customHeight="1" x14ac:dyDescent="0.25">
      <c r="A159" s="79">
        <f t="shared" si="40"/>
        <v>157</v>
      </c>
      <c r="B159" s="27" t="s">
        <v>215</v>
      </c>
      <c r="C159" s="60" t="s">
        <v>45</v>
      </c>
      <c r="D159" s="63" t="s">
        <v>209</v>
      </c>
      <c r="E159" s="12"/>
      <c r="F159" s="36"/>
      <c r="G159" s="36"/>
      <c r="H159" s="16"/>
      <c r="I159" s="36"/>
      <c r="J159" s="16"/>
      <c r="K159" s="36"/>
      <c r="L159" s="36"/>
      <c r="M159" s="16"/>
      <c r="N159" s="36"/>
      <c r="O159" s="36"/>
      <c r="P159" s="36"/>
      <c r="Q159" s="36"/>
      <c r="R159" s="36"/>
      <c r="S159" s="36"/>
      <c r="T159" s="36"/>
      <c r="U159" s="37"/>
      <c r="V159" s="36"/>
      <c r="W159" s="36"/>
      <c r="X159" s="37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</row>
    <row r="160" spans="1:42" s="35" customFormat="1" ht="40.15" customHeight="1" x14ac:dyDescent="0.25">
      <c r="A160" s="79">
        <f t="shared" si="40"/>
        <v>158</v>
      </c>
      <c r="B160" s="27" t="s">
        <v>216</v>
      </c>
      <c r="C160" s="60" t="s">
        <v>45</v>
      </c>
      <c r="D160" s="63" t="s">
        <v>209</v>
      </c>
      <c r="E160" s="12"/>
      <c r="F160" s="36"/>
      <c r="G160" s="36"/>
      <c r="H160" s="13"/>
      <c r="I160" s="36"/>
      <c r="J160" s="16"/>
      <c r="K160" s="36"/>
      <c r="L160" s="36"/>
      <c r="M160" s="1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7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</row>
    <row r="161" spans="1:42" s="35" customFormat="1" ht="40.15" customHeight="1" x14ac:dyDescent="0.25">
      <c r="A161" s="79">
        <f t="shared" si="40"/>
        <v>159</v>
      </c>
      <c r="B161" s="27" t="s">
        <v>217</v>
      </c>
      <c r="C161" s="60" t="s">
        <v>45</v>
      </c>
      <c r="D161" s="63" t="s">
        <v>209</v>
      </c>
      <c r="E161" s="12"/>
      <c r="F161" s="36"/>
      <c r="G161" s="36"/>
      <c r="H161" s="13"/>
      <c r="I161" s="36"/>
      <c r="J161" s="16"/>
      <c r="K161" s="36"/>
      <c r="L161" s="36"/>
      <c r="M161" s="1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7"/>
      <c r="AM161" s="36"/>
      <c r="AN161" s="36"/>
      <c r="AO161" s="37"/>
      <c r="AP161" s="36"/>
    </row>
    <row r="162" spans="1:42" s="35" customFormat="1" ht="40.15" customHeight="1" x14ac:dyDescent="0.25">
      <c r="A162" s="79">
        <f t="shared" si="40"/>
        <v>160</v>
      </c>
      <c r="B162" s="27" t="s">
        <v>218</v>
      </c>
      <c r="C162" s="60" t="s">
        <v>45</v>
      </c>
      <c r="D162" s="63" t="s">
        <v>209</v>
      </c>
      <c r="E162" s="12"/>
      <c r="F162" s="36"/>
      <c r="G162" s="36"/>
      <c r="H162" s="13"/>
      <c r="I162" s="36"/>
      <c r="J162" s="16"/>
      <c r="K162" s="36"/>
      <c r="L162" s="36"/>
      <c r="M162" s="1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</row>
    <row r="163" spans="1:42" s="35" customFormat="1" ht="40.15" customHeight="1" x14ac:dyDescent="0.25">
      <c r="A163" s="79">
        <f t="shared" si="40"/>
        <v>161</v>
      </c>
      <c r="B163" s="27" t="s">
        <v>219</v>
      </c>
      <c r="C163" s="60" t="s">
        <v>45</v>
      </c>
      <c r="D163" s="63" t="s">
        <v>209</v>
      </c>
      <c r="E163" s="16"/>
      <c r="F163" s="36"/>
      <c r="G163" s="36"/>
      <c r="H163" s="13"/>
      <c r="I163" s="36"/>
      <c r="J163" s="16"/>
      <c r="K163" s="36"/>
      <c r="L163" s="37"/>
      <c r="M163" s="1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7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7"/>
      <c r="AM163" s="36"/>
      <c r="AN163" s="36"/>
      <c r="AO163" s="37"/>
      <c r="AP163" s="36"/>
    </row>
    <row r="164" spans="1:42" s="35" customFormat="1" ht="40.15" customHeight="1" x14ac:dyDescent="0.25">
      <c r="A164" s="79">
        <f t="shared" si="40"/>
        <v>162</v>
      </c>
      <c r="B164" s="27" t="s">
        <v>220</v>
      </c>
      <c r="C164" s="60" t="s">
        <v>45</v>
      </c>
      <c r="D164" s="63" t="s">
        <v>209</v>
      </c>
      <c r="E164" s="12"/>
      <c r="F164" s="41"/>
      <c r="G164" s="36"/>
      <c r="H164" s="37"/>
      <c r="I164" s="36"/>
      <c r="J164" s="16"/>
      <c r="K164" s="36"/>
      <c r="L164" s="36"/>
      <c r="M164" s="16"/>
      <c r="N164" s="36"/>
      <c r="O164" s="36"/>
      <c r="P164" s="36"/>
      <c r="Q164" s="36"/>
      <c r="R164" s="36"/>
      <c r="S164" s="36"/>
      <c r="T164" s="36"/>
      <c r="U164" s="36"/>
      <c r="V164" s="37"/>
      <c r="W164" s="37"/>
      <c r="X164" s="36"/>
      <c r="Y164" s="36"/>
      <c r="Z164" s="36"/>
      <c r="AA164" s="36"/>
      <c r="AB164" s="36"/>
      <c r="AC164" s="36"/>
      <c r="AD164" s="37"/>
      <c r="AE164" s="36"/>
      <c r="AF164" s="36"/>
      <c r="AG164" s="36"/>
      <c r="AH164" s="36"/>
      <c r="AI164" s="36"/>
      <c r="AJ164" s="36"/>
      <c r="AK164" s="36"/>
      <c r="AL164" s="36"/>
      <c r="AM164" s="36"/>
      <c r="AN164" s="37"/>
      <c r="AO164" s="36"/>
      <c r="AP164" s="36"/>
    </row>
    <row r="165" spans="1:42" s="35" customFormat="1" ht="40.15" customHeight="1" x14ac:dyDescent="0.25">
      <c r="A165" s="79">
        <f t="shared" si="40"/>
        <v>163</v>
      </c>
      <c r="B165" s="27" t="s">
        <v>221</v>
      </c>
      <c r="C165" s="60" t="s">
        <v>45</v>
      </c>
      <c r="D165" s="63" t="s">
        <v>209</v>
      </c>
      <c r="E165" s="12"/>
      <c r="F165" s="36"/>
      <c r="G165" s="36"/>
      <c r="H165" s="13"/>
      <c r="I165" s="36"/>
      <c r="J165" s="16"/>
      <c r="K165" s="36"/>
      <c r="L165" s="36"/>
      <c r="M165" s="16"/>
      <c r="N165" s="36"/>
      <c r="O165" s="36"/>
      <c r="P165" s="36"/>
      <c r="Q165" s="36"/>
      <c r="R165" s="36"/>
      <c r="S165" s="36"/>
      <c r="T165" s="36"/>
      <c r="U165" s="36"/>
      <c r="V165" s="37"/>
      <c r="W165" s="36"/>
      <c r="X165" s="37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7"/>
      <c r="AO165" s="36"/>
      <c r="AP165" s="36"/>
    </row>
    <row r="166" spans="1:42" s="35" customFormat="1" ht="40.15" customHeight="1" x14ac:dyDescent="0.25">
      <c r="A166" s="79">
        <f t="shared" si="40"/>
        <v>164</v>
      </c>
      <c r="B166" s="27" t="s">
        <v>222</v>
      </c>
      <c r="C166" s="60" t="s">
        <v>45</v>
      </c>
      <c r="D166" s="63" t="s">
        <v>209</v>
      </c>
      <c r="E166" s="12"/>
      <c r="F166" s="41"/>
      <c r="G166" s="36"/>
      <c r="H166" s="37"/>
      <c r="I166" s="36"/>
      <c r="J166" s="16"/>
      <c r="K166" s="36"/>
      <c r="L166" s="36"/>
      <c r="M166" s="1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</row>
    <row r="167" spans="1:42" s="35" customFormat="1" ht="40.15" customHeight="1" x14ac:dyDescent="0.25">
      <c r="A167" s="79">
        <f t="shared" si="40"/>
        <v>165</v>
      </c>
      <c r="B167" s="27" t="s">
        <v>223</v>
      </c>
      <c r="C167" s="60" t="s">
        <v>45</v>
      </c>
      <c r="D167" s="63" t="s">
        <v>209</v>
      </c>
      <c r="E167" s="12"/>
      <c r="F167" s="41"/>
      <c r="G167" s="36"/>
      <c r="H167" s="13"/>
      <c r="I167" s="36"/>
      <c r="J167" s="16"/>
      <c r="K167" s="36"/>
      <c r="L167" s="36"/>
      <c r="M167" s="16"/>
      <c r="N167" s="36"/>
      <c r="O167" s="36"/>
      <c r="P167" s="36"/>
      <c r="Q167" s="36"/>
      <c r="R167" s="36"/>
      <c r="S167" s="36"/>
      <c r="T167" s="36"/>
      <c r="U167" s="36"/>
      <c r="V167" s="37"/>
      <c r="W167" s="36"/>
      <c r="X167" s="37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</row>
    <row r="168" spans="1:42" s="35" customFormat="1" ht="40.15" customHeight="1" x14ac:dyDescent="0.25">
      <c r="A168" s="79">
        <f t="shared" si="40"/>
        <v>166</v>
      </c>
      <c r="B168" s="27" t="s">
        <v>224</v>
      </c>
      <c r="C168" s="60" t="s">
        <v>45</v>
      </c>
      <c r="D168" s="63" t="s">
        <v>209</v>
      </c>
      <c r="E168" s="12"/>
      <c r="F168" s="41"/>
      <c r="G168" s="36"/>
      <c r="H168" s="13"/>
      <c r="I168" s="36"/>
      <c r="J168" s="16"/>
      <c r="K168" s="36"/>
      <c r="L168" s="36"/>
      <c r="M168" s="1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7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</row>
    <row r="169" spans="1:42" s="35" customFormat="1" ht="40.15" customHeight="1" x14ac:dyDescent="0.25">
      <c r="A169" s="79">
        <f t="shared" si="40"/>
        <v>167</v>
      </c>
      <c r="B169" s="29" t="s">
        <v>225</v>
      </c>
      <c r="C169" s="60" t="s">
        <v>45</v>
      </c>
      <c r="D169" s="63" t="s">
        <v>209</v>
      </c>
      <c r="E169" s="12"/>
      <c r="F169" s="41"/>
      <c r="G169" s="36"/>
      <c r="H169" s="23"/>
      <c r="I169" s="36"/>
      <c r="J169" s="18"/>
      <c r="K169" s="36"/>
      <c r="L169" s="36"/>
      <c r="M169" s="37"/>
      <c r="N169" s="36"/>
      <c r="O169" s="36"/>
      <c r="P169" s="36"/>
      <c r="Q169" s="36"/>
      <c r="R169" s="36"/>
      <c r="S169" s="36"/>
      <c r="T169" s="36"/>
      <c r="U169" s="36"/>
      <c r="V169" s="38"/>
      <c r="W169" s="36"/>
      <c r="X169" s="37"/>
      <c r="Y169" s="36"/>
      <c r="Z169" s="36"/>
      <c r="AA169" s="36"/>
      <c r="AB169" s="36"/>
      <c r="AC169" s="36"/>
      <c r="AD169" s="36"/>
      <c r="AE169" s="16"/>
      <c r="AF169" s="36"/>
      <c r="AG169" s="36"/>
      <c r="AH169" s="36"/>
      <c r="AI169" s="36"/>
      <c r="AJ169" s="36"/>
      <c r="AK169" s="36"/>
      <c r="AL169" s="16"/>
      <c r="AM169" s="36"/>
      <c r="AN169" s="36"/>
      <c r="AO169" s="36"/>
      <c r="AP169" s="36"/>
    </row>
    <row r="170" spans="1:42" s="35" customFormat="1" ht="40.15" customHeight="1" x14ac:dyDescent="0.25">
      <c r="A170" s="79">
        <f t="shared" si="40"/>
        <v>168</v>
      </c>
      <c r="B170" s="27" t="s">
        <v>226</v>
      </c>
      <c r="C170" s="60" t="s">
        <v>45</v>
      </c>
      <c r="D170" s="63" t="s">
        <v>209</v>
      </c>
      <c r="E170" s="12"/>
      <c r="F170" s="36"/>
      <c r="G170" s="36"/>
      <c r="H170" s="23"/>
      <c r="I170" s="36"/>
      <c r="J170" s="16"/>
      <c r="K170" s="36"/>
      <c r="L170" s="36"/>
      <c r="M170" s="37"/>
      <c r="N170" s="36"/>
      <c r="O170" s="36"/>
      <c r="P170" s="36"/>
      <c r="Q170" s="36"/>
      <c r="R170" s="36"/>
      <c r="S170" s="36"/>
      <c r="T170" s="36"/>
      <c r="U170" s="36"/>
      <c r="V170" s="38"/>
      <c r="W170" s="37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</row>
    <row r="171" spans="1:42" s="35" customFormat="1" ht="40.15" customHeight="1" x14ac:dyDescent="0.25">
      <c r="A171" s="79">
        <f t="shared" si="40"/>
        <v>169</v>
      </c>
      <c r="B171" s="27" t="s">
        <v>227</v>
      </c>
      <c r="C171" s="60" t="s">
        <v>45</v>
      </c>
      <c r="D171" s="63" t="s">
        <v>209</v>
      </c>
      <c r="E171" s="12"/>
      <c r="F171" s="41"/>
      <c r="G171" s="36"/>
      <c r="H171" s="23"/>
      <c r="I171" s="36"/>
      <c r="J171" s="16"/>
      <c r="K171" s="36"/>
      <c r="L171" s="36"/>
      <c r="M171" s="37"/>
      <c r="N171" s="36"/>
      <c r="O171" s="36"/>
      <c r="P171" s="36"/>
      <c r="Q171" s="36"/>
      <c r="R171" s="36"/>
      <c r="S171" s="36"/>
      <c r="T171" s="36"/>
      <c r="U171" s="36"/>
      <c r="V171" s="38"/>
      <c r="W171" s="37"/>
      <c r="X171" s="36"/>
      <c r="Y171" s="36"/>
      <c r="Z171" s="36"/>
      <c r="AA171" s="36"/>
      <c r="AB171" s="36"/>
      <c r="AC171" s="36"/>
      <c r="AD171" s="37"/>
      <c r="AE171" s="36"/>
      <c r="AF171" s="36"/>
      <c r="AG171" s="36"/>
      <c r="AH171" s="36"/>
      <c r="AI171" s="36"/>
      <c r="AJ171" s="36"/>
      <c r="AK171" s="36"/>
      <c r="AL171" s="36"/>
      <c r="AM171" s="36"/>
      <c r="AN171" s="37"/>
      <c r="AO171" s="36"/>
      <c r="AP171" s="36"/>
    </row>
    <row r="172" spans="1:42" s="35" customFormat="1" ht="40.15" customHeight="1" x14ac:dyDescent="0.25">
      <c r="A172" s="79">
        <f t="shared" si="40"/>
        <v>170</v>
      </c>
      <c r="B172" s="27" t="s">
        <v>227</v>
      </c>
      <c r="C172" s="60" t="s">
        <v>45</v>
      </c>
      <c r="D172" s="63" t="s">
        <v>209</v>
      </c>
      <c r="E172" s="12"/>
      <c r="F172" s="41"/>
      <c r="G172" s="36"/>
      <c r="H172" s="23"/>
      <c r="I172" s="36"/>
      <c r="J172" s="16"/>
      <c r="K172" s="36"/>
      <c r="L172" s="36"/>
      <c r="M172" s="37"/>
      <c r="N172" s="36"/>
      <c r="O172" s="36"/>
      <c r="P172" s="36"/>
      <c r="Q172" s="36"/>
      <c r="R172" s="36"/>
      <c r="S172" s="36"/>
      <c r="T172" s="36"/>
      <c r="U172" s="36"/>
      <c r="V172" s="38"/>
      <c r="W172" s="37"/>
      <c r="X172" s="36"/>
      <c r="Y172" s="36"/>
      <c r="Z172" s="36"/>
      <c r="AA172" s="36"/>
      <c r="AB172" s="36"/>
      <c r="AC172" s="36"/>
      <c r="AD172" s="37"/>
      <c r="AE172" s="36"/>
      <c r="AF172" s="36"/>
      <c r="AG172" s="36"/>
      <c r="AH172" s="36"/>
      <c r="AI172" s="36"/>
      <c r="AJ172" s="36"/>
      <c r="AK172" s="36"/>
      <c r="AL172" s="36"/>
      <c r="AM172" s="36"/>
      <c r="AN172" s="37"/>
      <c r="AO172" s="36"/>
      <c r="AP172" s="36"/>
    </row>
    <row r="173" spans="1:42" s="35" customFormat="1" ht="40.15" customHeight="1" x14ac:dyDescent="0.25">
      <c r="A173" s="79">
        <f t="shared" si="40"/>
        <v>171</v>
      </c>
      <c r="B173" s="27" t="s">
        <v>228</v>
      </c>
      <c r="C173" s="60" t="s">
        <v>45</v>
      </c>
      <c r="D173" s="63" t="s">
        <v>209</v>
      </c>
      <c r="E173" s="16"/>
      <c r="F173" s="36"/>
      <c r="G173" s="36"/>
      <c r="H173" s="16"/>
      <c r="I173" s="36"/>
      <c r="J173" s="16"/>
      <c r="K173" s="36"/>
      <c r="L173" s="36"/>
      <c r="M173" s="1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</row>
    <row r="174" spans="1:42" s="35" customFormat="1" ht="40.15" customHeight="1" x14ac:dyDescent="0.25">
      <c r="A174" s="79">
        <f t="shared" si="40"/>
        <v>172</v>
      </c>
      <c r="B174" s="27" t="s">
        <v>229</v>
      </c>
      <c r="C174" s="60" t="s">
        <v>45</v>
      </c>
      <c r="D174" s="63" t="s">
        <v>209</v>
      </c>
      <c r="E174" s="16"/>
      <c r="F174" s="36"/>
      <c r="G174" s="36"/>
      <c r="H174" s="16"/>
      <c r="I174" s="36"/>
      <c r="J174" s="16"/>
      <c r="K174" s="36"/>
      <c r="L174" s="36"/>
      <c r="M174" s="1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</row>
    <row r="175" spans="1:42" s="35" customFormat="1" ht="40.15" customHeight="1" x14ac:dyDescent="0.25">
      <c r="A175" s="79">
        <f t="shared" si="40"/>
        <v>173</v>
      </c>
      <c r="B175" s="29" t="s">
        <v>230</v>
      </c>
      <c r="C175" s="60" t="s">
        <v>45</v>
      </c>
      <c r="D175" s="63" t="s">
        <v>209</v>
      </c>
      <c r="E175" s="12"/>
      <c r="F175" s="41"/>
      <c r="G175" s="36"/>
      <c r="H175" s="37"/>
      <c r="I175" s="36"/>
      <c r="J175" s="16"/>
      <c r="K175" s="36"/>
      <c r="L175" s="36"/>
      <c r="M175" s="1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7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7"/>
      <c r="AO175" s="36"/>
      <c r="AP175" s="36"/>
    </row>
    <row r="176" spans="1:42" s="35" customFormat="1" ht="40.15" customHeight="1" x14ac:dyDescent="0.25">
      <c r="A176" s="79">
        <f t="shared" si="40"/>
        <v>174</v>
      </c>
      <c r="B176" s="29" t="s">
        <v>231</v>
      </c>
      <c r="C176" s="60" t="s">
        <v>45</v>
      </c>
      <c r="D176" s="63" t="s">
        <v>209</v>
      </c>
      <c r="E176" s="12"/>
      <c r="F176" s="41"/>
      <c r="G176" s="24"/>
      <c r="H176" s="24"/>
      <c r="I176" s="36"/>
      <c r="J176" s="16"/>
      <c r="K176" s="36"/>
      <c r="L176" s="36"/>
      <c r="M176" s="16"/>
      <c r="N176" s="36"/>
      <c r="O176" s="36"/>
      <c r="P176" s="36"/>
      <c r="Q176" s="36"/>
      <c r="R176" s="36"/>
      <c r="S176" s="36"/>
      <c r="T176" s="36"/>
      <c r="U176" s="36"/>
      <c r="V176" s="38"/>
      <c r="W176" s="37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</row>
    <row r="177" spans="1:43" s="35" customFormat="1" ht="40.15" customHeight="1" x14ac:dyDescent="0.25">
      <c r="A177" s="79">
        <f t="shared" si="40"/>
        <v>175</v>
      </c>
      <c r="B177" s="27" t="s">
        <v>232</v>
      </c>
      <c r="C177" s="59" t="s">
        <v>45</v>
      </c>
      <c r="D177" s="63" t="s">
        <v>119</v>
      </c>
      <c r="E177" s="12"/>
      <c r="F177" s="41"/>
      <c r="G177" s="36"/>
      <c r="H177" s="16"/>
      <c r="I177" s="36"/>
      <c r="J177" s="16"/>
      <c r="K177" s="37"/>
      <c r="L177" s="36"/>
      <c r="M177" s="1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1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</row>
    <row r="178" spans="1:43" s="35" customFormat="1" ht="40.15" customHeight="1" x14ac:dyDescent="0.25">
      <c r="A178" s="79">
        <f t="shared" si="40"/>
        <v>176</v>
      </c>
      <c r="B178" s="27" t="s">
        <v>233</v>
      </c>
      <c r="C178" s="60" t="s">
        <v>45</v>
      </c>
      <c r="D178" s="63" t="s">
        <v>119</v>
      </c>
      <c r="E178" s="12"/>
      <c r="F178" s="41"/>
      <c r="G178" s="36"/>
      <c r="H178" s="16"/>
      <c r="I178" s="36"/>
      <c r="J178" s="16"/>
      <c r="K178" s="37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</row>
    <row r="179" spans="1:43" s="35" customFormat="1" ht="40.15" customHeight="1" x14ac:dyDescent="0.25">
      <c r="A179" s="79">
        <f t="shared" si="40"/>
        <v>177</v>
      </c>
      <c r="B179" s="27" t="s">
        <v>234</v>
      </c>
      <c r="C179" s="60" t="s">
        <v>45</v>
      </c>
      <c r="D179" s="63" t="s">
        <v>119</v>
      </c>
      <c r="E179" s="12"/>
      <c r="F179" s="41"/>
      <c r="G179" s="36"/>
      <c r="H179" s="17"/>
      <c r="I179" s="36"/>
      <c r="J179" s="17"/>
      <c r="K179" s="37"/>
      <c r="L179" s="36"/>
      <c r="M179" s="17"/>
      <c r="N179" s="36"/>
      <c r="O179" s="36"/>
      <c r="P179" s="36"/>
      <c r="Q179" s="36"/>
      <c r="R179" s="36"/>
      <c r="S179" s="36"/>
      <c r="T179" s="36"/>
      <c r="U179" s="36"/>
      <c r="V179" s="36"/>
      <c r="W179" s="37"/>
      <c r="X179" s="36"/>
      <c r="Y179" s="36"/>
      <c r="Z179" s="36"/>
      <c r="AA179" s="36"/>
      <c r="AB179" s="36"/>
      <c r="AC179" s="1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4"/>
    </row>
    <row r="180" spans="1:43" s="35" customFormat="1" ht="40.15" customHeight="1" x14ac:dyDescent="0.25">
      <c r="A180" s="79">
        <f t="shared" si="40"/>
        <v>178</v>
      </c>
      <c r="B180" s="27" t="s">
        <v>235</v>
      </c>
      <c r="C180" s="60" t="s">
        <v>45</v>
      </c>
      <c r="D180" s="63" t="s">
        <v>119</v>
      </c>
      <c r="E180" s="16"/>
      <c r="F180" s="36"/>
      <c r="G180" s="36"/>
      <c r="H180" s="17"/>
      <c r="I180" s="36"/>
      <c r="J180" s="17"/>
      <c r="K180" s="36"/>
      <c r="L180" s="36"/>
      <c r="M180" s="17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1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</row>
    <row r="181" spans="1:43" s="35" customFormat="1" ht="40.15" hidden="1" customHeight="1" x14ac:dyDescent="0.25">
      <c r="A181" s="79">
        <f t="shared" si="40"/>
        <v>179</v>
      </c>
      <c r="B181" s="27" t="s">
        <v>236</v>
      </c>
      <c r="C181" s="60" t="str">
        <f>[1]GERAL!$L$2</f>
        <v>BA</v>
      </c>
      <c r="D181" s="63" t="s">
        <v>119</v>
      </c>
      <c r="E181" s="12"/>
      <c r="F181" s="41"/>
      <c r="G181" s="36"/>
      <c r="H181" s="16"/>
      <c r="I181" s="36"/>
      <c r="J181" s="16"/>
      <c r="K181" s="37"/>
      <c r="L181" s="36"/>
      <c r="M181" s="1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</row>
    <row r="182" spans="1:43" s="35" customFormat="1" ht="40.15" hidden="1" customHeight="1" x14ac:dyDescent="0.25">
      <c r="A182" s="79">
        <f t="shared" si="40"/>
        <v>180</v>
      </c>
      <c r="B182" s="17" t="s">
        <v>237</v>
      </c>
      <c r="C182" s="60" t="s">
        <v>47</v>
      </c>
      <c r="D182" s="72" t="s">
        <v>119</v>
      </c>
      <c r="E182" s="16"/>
      <c r="F182" s="36"/>
      <c r="G182" s="36"/>
      <c r="H182" s="16"/>
      <c r="I182" s="36"/>
      <c r="J182" s="16"/>
      <c r="K182" s="36"/>
      <c r="L182" s="36"/>
      <c r="M182" s="1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</row>
    <row r="183" spans="1:43" s="35" customFormat="1" ht="40.15" hidden="1" customHeight="1" x14ac:dyDescent="0.25">
      <c r="A183" s="79">
        <f t="shared" si="40"/>
        <v>181</v>
      </c>
      <c r="B183" s="17" t="s">
        <v>238</v>
      </c>
      <c r="C183" s="60" t="s">
        <v>47</v>
      </c>
      <c r="D183" s="72" t="s">
        <v>119</v>
      </c>
      <c r="E183" s="16"/>
      <c r="F183" s="36"/>
      <c r="G183" s="36"/>
      <c r="H183" s="16"/>
      <c r="I183" s="36"/>
      <c r="J183" s="16"/>
      <c r="K183" s="36"/>
      <c r="L183" s="36"/>
      <c r="M183" s="1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</row>
    <row r="184" spans="1:43" s="35" customFormat="1" ht="40.15" hidden="1" customHeight="1" x14ac:dyDescent="0.25">
      <c r="A184" s="79">
        <f t="shared" si="40"/>
        <v>182</v>
      </c>
      <c r="B184" s="17" t="s">
        <v>239</v>
      </c>
      <c r="C184" s="60" t="s">
        <v>47</v>
      </c>
      <c r="D184" s="72" t="s">
        <v>119</v>
      </c>
      <c r="E184" s="16"/>
      <c r="F184" s="36"/>
      <c r="G184" s="36"/>
      <c r="H184" s="16"/>
      <c r="I184" s="36"/>
      <c r="J184" s="16"/>
      <c r="K184" s="36"/>
      <c r="L184" s="36"/>
      <c r="M184" s="1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</row>
    <row r="185" spans="1:43" s="35" customFormat="1" ht="40.15" customHeight="1" x14ac:dyDescent="0.25">
      <c r="A185" s="79">
        <f t="shared" si="40"/>
        <v>183</v>
      </c>
      <c r="B185" s="27" t="s">
        <v>240</v>
      </c>
      <c r="C185" s="60" t="s">
        <v>45</v>
      </c>
      <c r="D185" s="63" t="s">
        <v>102</v>
      </c>
      <c r="E185" s="16"/>
      <c r="F185" s="36"/>
      <c r="G185" s="36"/>
      <c r="H185" s="16"/>
      <c r="I185" s="36"/>
      <c r="J185" s="16"/>
      <c r="K185" s="36"/>
      <c r="L185" s="36"/>
      <c r="M185" s="1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7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</row>
    <row r="186" spans="1:43" s="35" customFormat="1" ht="40.15" customHeight="1" x14ac:dyDescent="0.25">
      <c r="A186" s="79">
        <f t="shared" si="40"/>
        <v>184</v>
      </c>
      <c r="B186" s="27" t="s">
        <v>241</v>
      </c>
      <c r="C186" s="60" t="s">
        <v>45</v>
      </c>
      <c r="D186" s="63" t="s">
        <v>53</v>
      </c>
      <c r="E186" s="16"/>
      <c r="F186" s="36"/>
      <c r="G186" s="36"/>
      <c r="H186" s="16"/>
      <c r="I186" s="36"/>
      <c r="J186" s="16"/>
      <c r="K186" s="36"/>
      <c r="L186" s="37"/>
      <c r="M186" s="1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</row>
    <row r="187" spans="1:43" s="35" customFormat="1" ht="40.15" customHeight="1" x14ac:dyDescent="0.25">
      <c r="A187" s="79">
        <f t="shared" si="40"/>
        <v>185</v>
      </c>
      <c r="B187" s="27" t="s">
        <v>242</v>
      </c>
      <c r="C187" s="59" t="s">
        <v>45</v>
      </c>
      <c r="D187" s="63"/>
      <c r="E187" s="12"/>
      <c r="F187" s="41"/>
      <c r="G187" s="36"/>
      <c r="H187" s="16"/>
      <c r="I187" s="36"/>
      <c r="J187" s="16"/>
      <c r="K187" s="36"/>
      <c r="L187" s="36"/>
      <c r="M187" s="1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</row>
    <row r="188" spans="1:43" s="35" customFormat="1" ht="40.15" customHeight="1" x14ac:dyDescent="0.25">
      <c r="A188" s="79">
        <f t="shared" si="40"/>
        <v>186</v>
      </c>
      <c r="B188" s="27" t="s">
        <v>243</v>
      </c>
      <c r="C188" s="60" t="s">
        <v>45</v>
      </c>
      <c r="D188" s="62" t="s">
        <v>53</v>
      </c>
      <c r="E188" s="12"/>
      <c r="F188" s="41"/>
      <c r="G188" s="36"/>
      <c r="H188" s="36"/>
      <c r="I188" s="36"/>
      <c r="J188" s="16"/>
      <c r="K188" s="36"/>
      <c r="L188" s="36"/>
      <c r="M188" s="16"/>
      <c r="N188" s="36"/>
      <c r="O188" s="36"/>
      <c r="P188" s="36"/>
      <c r="Q188" s="37"/>
      <c r="R188" s="36"/>
      <c r="S188" s="36"/>
      <c r="T188" s="36"/>
      <c r="U188" s="37"/>
      <c r="V188" s="36"/>
      <c r="W188" s="36"/>
      <c r="X188" s="36"/>
      <c r="Y188" s="37"/>
      <c r="Z188" s="37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7"/>
      <c r="AN188" s="36"/>
      <c r="AO188" s="36"/>
      <c r="AP188" s="36"/>
    </row>
    <row r="189" spans="1:43" s="35" customFormat="1" ht="40.15" customHeight="1" x14ac:dyDescent="0.25">
      <c r="A189" s="79">
        <f t="shared" si="40"/>
        <v>187</v>
      </c>
      <c r="B189" s="31" t="s">
        <v>244</v>
      </c>
      <c r="C189" s="60" t="s">
        <v>45</v>
      </c>
      <c r="D189" s="62" t="s">
        <v>53</v>
      </c>
      <c r="E189" s="12"/>
      <c r="F189" s="41"/>
      <c r="G189" s="36"/>
      <c r="H189" s="18"/>
      <c r="I189" s="36"/>
      <c r="J189" s="18"/>
      <c r="K189" s="36"/>
      <c r="L189" s="37"/>
      <c r="M189" s="18"/>
      <c r="N189" s="36"/>
      <c r="O189" s="37"/>
      <c r="P189" s="36"/>
      <c r="Q189" s="37"/>
      <c r="R189" s="36"/>
      <c r="S189" s="36"/>
      <c r="T189" s="36"/>
      <c r="U189" s="36"/>
      <c r="V189" s="36"/>
      <c r="W189" s="37"/>
      <c r="X189" s="36"/>
      <c r="Y189" s="37"/>
      <c r="Z189" s="36"/>
      <c r="AA189" s="36"/>
      <c r="AB189" s="36"/>
      <c r="AC189" s="37"/>
      <c r="AD189" s="36"/>
      <c r="AE189" s="36"/>
      <c r="AF189" s="36"/>
      <c r="AG189" s="36"/>
      <c r="AH189" s="36"/>
      <c r="AI189" s="36"/>
      <c r="AJ189" s="36"/>
      <c r="AK189" s="36"/>
      <c r="AL189" s="37"/>
      <c r="AM189" s="37"/>
      <c r="AN189" s="36"/>
      <c r="AO189" s="37"/>
      <c r="AP189" s="36"/>
    </row>
    <row r="190" spans="1:43" s="35" customFormat="1" ht="40.15" customHeight="1" x14ac:dyDescent="0.25">
      <c r="A190" s="79">
        <f t="shared" si="40"/>
        <v>188</v>
      </c>
      <c r="B190" s="27" t="s">
        <v>245</v>
      </c>
      <c r="C190" s="60" t="s">
        <v>45</v>
      </c>
      <c r="D190" s="62" t="s">
        <v>53</v>
      </c>
      <c r="E190" s="12"/>
      <c r="F190" s="41"/>
      <c r="G190" s="36"/>
      <c r="H190" s="18"/>
      <c r="I190" s="36"/>
      <c r="J190" s="18"/>
      <c r="K190" s="36"/>
      <c r="L190" s="36"/>
      <c r="M190" s="18"/>
      <c r="N190" s="36"/>
      <c r="O190" s="36"/>
      <c r="P190" s="36"/>
      <c r="Q190" s="36"/>
      <c r="R190" s="36"/>
      <c r="S190" s="36"/>
      <c r="T190" s="36"/>
      <c r="U190" s="37"/>
      <c r="V190" s="36"/>
      <c r="W190" s="36"/>
      <c r="X190" s="36"/>
      <c r="Y190" s="37"/>
      <c r="Z190" s="36"/>
      <c r="AA190" s="36"/>
      <c r="AB190" s="36"/>
      <c r="AC190" s="37"/>
      <c r="AD190" s="36"/>
      <c r="AE190" s="36"/>
      <c r="AF190" s="36"/>
      <c r="AG190" s="36"/>
      <c r="AH190" s="36"/>
      <c r="AI190" s="36"/>
      <c r="AJ190" s="36"/>
      <c r="AK190" s="36"/>
      <c r="AL190" s="36"/>
      <c r="AM190" s="37"/>
      <c r="AN190" s="36"/>
      <c r="AO190" s="36"/>
      <c r="AP190" s="36"/>
    </row>
    <row r="191" spans="1:43" s="35" customFormat="1" ht="40.15" customHeight="1" x14ac:dyDescent="0.25">
      <c r="A191" s="79">
        <f t="shared" si="40"/>
        <v>189</v>
      </c>
      <c r="B191" s="27" t="s">
        <v>246</v>
      </c>
      <c r="C191" s="59" t="s">
        <v>45</v>
      </c>
      <c r="D191" s="63"/>
      <c r="E191" s="12"/>
      <c r="F191" s="38"/>
      <c r="G191" s="36"/>
      <c r="H191" s="16"/>
      <c r="I191" s="36"/>
      <c r="J191" s="16"/>
      <c r="K191" s="36"/>
      <c r="L191" s="36"/>
      <c r="M191" s="1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7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</row>
    <row r="192" spans="1:43" s="35" customFormat="1" ht="40.15" customHeight="1" x14ac:dyDescent="0.25">
      <c r="A192" s="79">
        <f t="shared" si="40"/>
        <v>190</v>
      </c>
      <c r="B192" s="27" t="s">
        <v>247</v>
      </c>
      <c r="C192" s="60" t="s">
        <v>45</v>
      </c>
      <c r="D192" s="63" t="s">
        <v>248</v>
      </c>
      <c r="E192" s="12"/>
      <c r="F192" s="41"/>
      <c r="G192" s="36"/>
      <c r="H192" s="16"/>
      <c r="I192" s="36"/>
      <c r="J192" s="16"/>
      <c r="K192" s="36"/>
      <c r="L192" s="36"/>
      <c r="M192" s="1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7"/>
      <c r="AN192" s="36"/>
      <c r="AO192" s="36"/>
      <c r="AP192" s="36"/>
    </row>
    <row r="193" spans="1:42" s="35" customFormat="1" ht="40.15" customHeight="1" x14ac:dyDescent="0.25">
      <c r="A193" s="79">
        <f t="shared" si="40"/>
        <v>191</v>
      </c>
      <c r="B193" s="27" t="s">
        <v>249</v>
      </c>
      <c r="C193" s="60" t="s">
        <v>45</v>
      </c>
      <c r="D193" s="63" t="s">
        <v>202</v>
      </c>
      <c r="E193" s="12"/>
      <c r="F193" s="41"/>
      <c r="G193" s="36"/>
      <c r="H193" s="16"/>
      <c r="I193" s="36"/>
      <c r="J193" s="16"/>
      <c r="K193" s="36"/>
      <c r="L193" s="37"/>
      <c r="M193" s="16"/>
      <c r="N193" s="36"/>
      <c r="O193" s="36"/>
      <c r="P193" s="36"/>
      <c r="Q193" s="37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7"/>
      <c r="AN193" s="36"/>
      <c r="AO193" s="36"/>
      <c r="AP193" s="36"/>
    </row>
    <row r="194" spans="1:42" s="35" customFormat="1" ht="40.15" customHeight="1" x14ac:dyDescent="0.25">
      <c r="A194" s="79">
        <f t="shared" si="40"/>
        <v>192</v>
      </c>
      <c r="B194" s="27" t="s">
        <v>250</v>
      </c>
      <c r="C194" s="59" t="s">
        <v>45</v>
      </c>
      <c r="D194" s="62" t="s">
        <v>53</v>
      </c>
      <c r="E194" s="12"/>
      <c r="F194" s="41"/>
      <c r="G194" s="36"/>
      <c r="H194" s="16"/>
      <c r="I194" s="36"/>
      <c r="J194" s="16"/>
      <c r="K194" s="36"/>
      <c r="L194" s="36"/>
      <c r="M194" s="1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7"/>
      <c r="AN194" s="36"/>
      <c r="AO194" s="37"/>
      <c r="AP194" s="36"/>
    </row>
    <row r="195" spans="1:42" s="35" customFormat="1" ht="40.15" customHeight="1" x14ac:dyDescent="0.25">
      <c r="A195" s="79">
        <f t="shared" si="40"/>
        <v>193</v>
      </c>
      <c r="B195" s="29" t="s">
        <v>251</v>
      </c>
      <c r="C195" s="60" t="s">
        <v>45</v>
      </c>
      <c r="D195" s="70" t="s">
        <v>252</v>
      </c>
      <c r="E195" s="12"/>
      <c r="F195" s="41"/>
      <c r="G195" s="36"/>
      <c r="H195" s="16"/>
      <c r="I195" s="36"/>
      <c r="J195" s="16"/>
      <c r="K195" s="36"/>
      <c r="L195" s="36"/>
      <c r="M195" s="16"/>
      <c r="N195" s="36"/>
      <c r="O195" s="36"/>
      <c r="P195" s="36"/>
      <c r="Q195" s="36"/>
      <c r="R195" s="36"/>
      <c r="S195" s="36"/>
      <c r="T195" s="36"/>
      <c r="U195" s="37"/>
      <c r="V195" s="36"/>
      <c r="W195" s="37"/>
      <c r="X195" s="36"/>
      <c r="Y195" s="36"/>
      <c r="Z195" s="36"/>
      <c r="AA195" s="36"/>
      <c r="AB195" s="36"/>
      <c r="AC195" s="36"/>
      <c r="AD195" s="37"/>
      <c r="AE195" s="36"/>
      <c r="AF195" s="36"/>
      <c r="AG195" s="36"/>
      <c r="AH195" s="36"/>
      <c r="AI195" s="36"/>
      <c r="AJ195" s="36"/>
      <c r="AK195" s="36"/>
      <c r="AL195" s="36"/>
      <c r="AM195" s="37"/>
      <c r="AN195" s="36"/>
      <c r="AO195" s="36"/>
      <c r="AP195" s="36"/>
    </row>
    <row r="196" spans="1:42" s="35" customFormat="1" ht="40.15" customHeight="1" x14ac:dyDescent="0.25">
      <c r="A196" s="79">
        <f t="shared" si="40"/>
        <v>194</v>
      </c>
      <c r="B196" s="27" t="s">
        <v>253</v>
      </c>
      <c r="C196" s="60" t="s">
        <v>45</v>
      </c>
      <c r="D196" s="62" t="s">
        <v>53</v>
      </c>
      <c r="E196" s="12"/>
      <c r="F196" s="41"/>
      <c r="G196" s="36"/>
      <c r="H196" s="16"/>
      <c r="I196" s="36"/>
      <c r="J196" s="16"/>
      <c r="K196" s="36"/>
      <c r="L196" s="36"/>
      <c r="M196" s="37"/>
      <c r="N196" s="36"/>
      <c r="O196" s="36"/>
      <c r="P196" s="36"/>
      <c r="Q196" s="36"/>
      <c r="R196" s="36"/>
      <c r="S196" s="36"/>
      <c r="T196" s="36"/>
      <c r="U196" s="36"/>
      <c r="V196" s="36"/>
      <c r="W196" s="37"/>
      <c r="X196" s="36"/>
      <c r="Y196" s="36"/>
      <c r="Z196" s="41"/>
      <c r="AA196" s="36"/>
      <c r="AB196" s="36"/>
      <c r="AC196" s="36"/>
      <c r="AD196" s="37"/>
      <c r="AE196" s="36"/>
      <c r="AF196" s="36"/>
      <c r="AG196" s="36"/>
      <c r="AH196" s="36"/>
      <c r="AI196" s="36"/>
      <c r="AJ196" s="36"/>
      <c r="AK196" s="36"/>
      <c r="AL196" s="37"/>
      <c r="AM196" s="37"/>
      <c r="AN196" s="36"/>
      <c r="AO196" s="37"/>
      <c r="AP196" s="36"/>
    </row>
    <row r="197" spans="1:42" s="35" customFormat="1" ht="40.15" customHeight="1" x14ac:dyDescent="0.25">
      <c r="A197" s="79">
        <f t="shared" si="40"/>
        <v>195</v>
      </c>
      <c r="B197" s="81" t="s">
        <v>254</v>
      </c>
      <c r="C197" s="59" t="s">
        <v>45</v>
      </c>
      <c r="D197" s="63" t="s">
        <v>68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84"/>
    </row>
    <row r="198" spans="1:42" s="35" customFormat="1" ht="40.15" customHeight="1" x14ac:dyDescent="0.25">
      <c r="A198" s="79">
        <f t="shared" si="40"/>
        <v>196</v>
      </c>
      <c r="B198" s="27" t="s">
        <v>255</v>
      </c>
      <c r="C198" s="60" t="s">
        <v>45</v>
      </c>
      <c r="D198" s="63" t="s">
        <v>136</v>
      </c>
      <c r="E198" s="12"/>
      <c r="F198" s="41"/>
      <c r="G198" s="36"/>
      <c r="H198" s="17"/>
      <c r="I198" s="36"/>
      <c r="J198" s="17"/>
      <c r="K198" s="36"/>
      <c r="L198" s="36"/>
      <c r="M198" s="17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</row>
    <row r="199" spans="1:42" s="35" customFormat="1" ht="40.15" hidden="1" customHeight="1" x14ac:dyDescent="0.25">
      <c r="A199" s="79">
        <f t="shared" si="40"/>
        <v>197</v>
      </c>
      <c r="B199" s="28" t="s">
        <v>256</v>
      </c>
      <c r="C199" s="60" t="s">
        <v>73</v>
      </c>
      <c r="D199" s="62" t="s">
        <v>257</v>
      </c>
      <c r="E199" s="12"/>
      <c r="F199" s="41"/>
      <c r="G199" s="36"/>
      <c r="H199" s="16"/>
      <c r="I199" s="36"/>
      <c r="J199" s="16"/>
      <c r="K199" s="36"/>
      <c r="L199" s="36"/>
      <c r="M199" s="1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</row>
    <row r="200" spans="1:42" s="35" customFormat="1" ht="40.15" hidden="1" customHeight="1" x14ac:dyDescent="0.25">
      <c r="A200" s="79">
        <f t="shared" si="40"/>
        <v>198</v>
      </c>
      <c r="B200" s="14" t="s">
        <v>258</v>
      </c>
      <c r="C200" s="60" t="s">
        <v>47</v>
      </c>
      <c r="D200" s="63" t="s">
        <v>259</v>
      </c>
      <c r="E200" s="12"/>
      <c r="F200" s="41"/>
      <c r="G200" s="36"/>
      <c r="H200" s="16"/>
      <c r="I200" s="36"/>
      <c r="J200" s="16"/>
      <c r="K200" s="36"/>
      <c r="L200" s="36"/>
      <c r="M200" s="1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</row>
    <row r="201" spans="1:42" s="35" customFormat="1" ht="40.15" customHeight="1" x14ac:dyDescent="0.25">
      <c r="A201" s="79">
        <f t="shared" si="40"/>
        <v>199</v>
      </c>
      <c r="B201" s="27" t="s">
        <v>260</v>
      </c>
      <c r="C201" s="59" t="s">
        <v>45</v>
      </c>
      <c r="D201" s="63" t="s">
        <v>78</v>
      </c>
      <c r="E201" s="12"/>
      <c r="F201" s="41"/>
      <c r="G201" s="36"/>
      <c r="H201" s="16"/>
      <c r="I201" s="36"/>
      <c r="J201" s="16"/>
      <c r="K201" s="36"/>
      <c r="L201" s="36"/>
      <c r="M201" s="1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</row>
    <row r="202" spans="1:42" s="35" customFormat="1" ht="40.15" hidden="1" customHeight="1" x14ac:dyDescent="0.25">
      <c r="A202" s="79">
        <f t="shared" ref="A202:A265" si="41">A201+1</f>
        <v>200</v>
      </c>
      <c r="B202" s="14" t="s">
        <v>261</v>
      </c>
      <c r="C202" s="60" t="s">
        <v>47</v>
      </c>
      <c r="D202" s="63" t="s">
        <v>202</v>
      </c>
      <c r="E202" s="12"/>
      <c r="F202" s="41"/>
      <c r="G202" s="36"/>
      <c r="H202" s="16"/>
      <c r="I202" s="36"/>
      <c r="J202" s="16"/>
      <c r="K202" s="36"/>
      <c r="L202" s="36"/>
      <c r="M202" s="1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7"/>
      <c r="AM202" s="36"/>
      <c r="AN202" s="36"/>
      <c r="AO202" s="36"/>
      <c r="AP202" s="36"/>
    </row>
    <row r="203" spans="1:42" s="35" customFormat="1" ht="40.15" customHeight="1" x14ac:dyDescent="0.25">
      <c r="A203" s="79">
        <f t="shared" si="41"/>
        <v>201</v>
      </c>
      <c r="B203" s="27" t="s">
        <v>262</v>
      </c>
      <c r="C203" s="60" t="s">
        <v>45</v>
      </c>
      <c r="D203" s="63" t="s">
        <v>104</v>
      </c>
      <c r="E203" s="12"/>
      <c r="F203" s="37"/>
      <c r="G203" s="36"/>
      <c r="H203" s="16"/>
      <c r="I203" s="36"/>
      <c r="J203" s="13"/>
      <c r="K203" s="36"/>
      <c r="L203" s="36"/>
      <c r="M203" s="16"/>
      <c r="N203" s="36"/>
      <c r="O203" s="36"/>
      <c r="P203" s="36"/>
      <c r="Q203" s="37"/>
      <c r="R203" s="36"/>
      <c r="S203" s="36"/>
      <c r="T203" s="36"/>
      <c r="U203" s="36"/>
      <c r="V203" s="36"/>
      <c r="W203" s="37"/>
      <c r="X203" s="36"/>
      <c r="Y203" s="36"/>
      <c r="Z203" s="36"/>
      <c r="AA203" s="36"/>
      <c r="AB203" s="36"/>
      <c r="AC203" s="36"/>
      <c r="AD203" s="36"/>
      <c r="AE203" s="36"/>
      <c r="AF203" s="37"/>
      <c r="AG203" s="36"/>
      <c r="AH203" s="36"/>
      <c r="AI203" s="36"/>
      <c r="AJ203" s="36"/>
      <c r="AK203" s="36"/>
      <c r="AL203" s="36"/>
      <c r="AM203" s="36"/>
      <c r="AN203" s="36"/>
      <c r="AO203" s="37"/>
      <c r="AP203" s="36"/>
    </row>
    <row r="204" spans="1:42" s="35" customFormat="1" ht="40.15" customHeight="1" x14ac:dyDescent="0.25">
      <c r="A204" s="79">
        <f t="shared" si="41"/>
        <v>202</v>
      </c>
      <c r="B204" s="27" t="s">
        <v>263</v>
      </c>
      <c r="C204" s="59" t="s">
        <v>45</v>
      </c>
      <c r="D204" s="63" t="s">
        <v>78</v>
      </c>
      <c r="E204" s="12"/>
      <c r="F204" s="41"/>
      <c r="G204" s="36"/>
      <c r="H204" s="16"/>
      <c r="I204" s="36"/>
      <c r="J204" s="16"/>
      <c r="K204" s="36"/>
      <c r="L204" s="36"/>
      <c r="M204" s="1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</row>
    <row r="205" spans="1:42" s="35" customFormat="1" ht="40.15" customHeight="1" x14ac:dyDescent="0.25">
      <c r="A205" s="79">
        <f t="shared" si="41"/>
        <v>203</v>
      </c>
      <c r="B205" s="81" t="s">
        <v>264</v>
      </c>
      <c r="C205" s="59" t="s">
        <v>45</v>
      </c>
      <c r="D205" s="63" t="s">
        <v>122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84"/>
    </row>
    <row r="206" spans="1:42" s="35" customFormat="1" ht="40.15" customHeight="1" x14ac:dyDescent="0.25">
      <c r="A206" s="79">
        <f t="shared" si="41"/>
        <v>204</v>
      </c>
      <c r="B206" s="28" t="s">
        <v>265</v>
      </c>
      <c r="C206" s="60" t="s">
        <v>45</v>
      </c>
      <c r="D206" s="62"/>
      <c r="E206" s="12"/>
      <c r="F206" s="41"/>
      <c r="G206" s="36"/>
      <c r="H206" s="16"/>
      <c r="I206" s="36"/>
      <c r="J206" s="16"/>
      <c r="K206" s="36"/>
      <c r="L206" s="36"/>
      <c r="M206" s="1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</row>
    <row r="207" spans="1:42" s="35" customFormat="1" ht="40.15" hidden="1" customHeight="1" x14ac:dyDescent="0.25">
      <c r="A207" s="79">
        <f t="shared" si="41"/>
        <v>205</v>
      </c>
      <c r="B207" s="28" t="s">
        <v>266</v>
      </c>
      <c r="C207" s="60" t="s">
        <v>73</v>
      </c>
      <c r="D207" s="62" t="s">
        <v>267</v>
      </c>
      <c r="E207" s="16"/>
      <c r="F207" s="36"/>
      <c r="G207" s="36"/>
      <c r="H207" s="22"/>
      <c r="I207" s="36"/>
      <c r="J207" s="22"/>
      <c r="K207" s="36"/>
      <c r="L207" s="36"/>
      <c r="M207" s="22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16"/>
      <c r="AP207" s="36"/>
    </row>
    <row r="208" spans="1:42" s="35" customFormat="1" ht="40.15" customHeight="1" x14ac:dyDescent="0.25">
      <c r="A208" s="79">
        <f t="shared" si="41"/>
        <v>206</v>
      </c>
      <c r="B208" s="27" t="s">
        <v>268</v>
      </c>
      <c r="C208" s="60" t="s">
        <v>45</v>
      </c>
      <c r="D208" s="63" t="s">
        <v>104</v>
      </c>
      <c r="E208" s="12"/>
      <c r="F208" s="37"/>
      <c r="G208" s="36"/>
      <c r="H208" s="16"/>
      <c r="I208" s="36"/>
      <c r="J208" s="37"/>
      <c r="K208" s="36"/>
      <c r="L208" s="36"/>
      <c r="M208" s="1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7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</row>
    <row r="209" spans="1:42" s="35" customFormat="1" ht="40.15" hidden="1" customHeight="1" x14ac:dyDescent="0.25">
      <c r="A209" s="79">
        <f t="shared" si="41"/>
        <v>207</v>
      </c>
      <c r="B209" s="27" t="s">
        <v>269</v>
      </c>
      <c r="C209" s="59"/>
      <c r="D209" s="63" t="s">
        <v>78</v>
      </c>
      <c r="E209" s="12"/>
      <c r="F209" s="41"/>
      <c r="G209" s="36"/>
      <c r="H209" s="16"/>
      <c r="I209" s="36"/>
      <c r="J209" s="16"/>
      <c r="K209" s="36"/>
      <c r="L209" s="36"/>
      <c r="M209" s="1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</row>
    <row r="210" spans="1:42" s="35" customFormat="1" ht="40.15" customHeight="1" x14ac:dyDescent="0.25">
      <c r="A210" s="79">
        <f t="shared" si="41"/>
        <v>208</v>
      </c>
      <c r="B210" s="39" t="s">
        <v>270</v>
      </c>
      <c r="C210" s="61" t="s">
        <v>45</v>
      </c>
      <c r="D210" s="69"/>
      <c r="E210" s="12"/>
      <c r="F210" s="41"/>
      <c r="G210" s="36"/>
      <c r="H210" s="16"/>
      <c r="I210" s="36"/>
      <c r="J210" s="16"/>
      <c r="K210" s="38"/>
      <c r="L210" s="36"/>
      <c r="M210" s="1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</row>
    <row r="211" spans="1:42" s="35" customFormat="1" ht="40.15" customHeight="1" x14ac:dyDescent="0.25">
      <c r="A211" s="79">
        <f t="shared" si="41"/>
        <v>209</v>
      </c>
      <c r="B211" s="27" t="s">
        <v>271</v>
      </c>
      <c r="C211" s="60" t="s">
        <v>45</v>
      </c>
      <c r="D211" s="63" t="s">
        <v>78</v>
      </c>
      <c r="E211" s="12"/>
      <c r="F211" s="41"/>
      <c r="G211" s="36"/>
      <c r="H211" s="16"/>
      <c r="I211" s="36"/>
      <c r="J211" s="16"/>
      <c r="K211" s="36"/>
      <c r="L211" s="36"/>
      <c r="M211" s="1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</row>
    <row r="212" spans="1:42" s="35" customFormat="1" ht="40.15" customHeight="1" x14ac:dyDescent="0.25">
      <c r="A212" s="79">
        <f t="shared" si="41"/>
        <v>210</v>
      </c>
      <c r="B212" s="81" t="s">
        <v>272</v>
      </c>
      <c r="C212" s="59" t="s">
        <v>45</v>
      </c>
      <c r="D212" s="63" t="s">
        <v>273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84"/>
    </row>
    <row r="213" spans="1:42" s="35" customFormat="1" ht="40.15" hidden="1" customHeight="1" x14ac:dyDescent="0.25">
      <c r="A213" s="79">
        <f t="shared" si="41"/>
        <v>211</v>
      </c>
      <c r="B213" s="27" t="s">
        <v>274</v>
      </c>
      <c r="C213" s="60" t="s">
        <v>47</v>
      </c>
      <c r="D213" s="63" t="s">
        <v>78</v>
      </c>
      <c r="E213" s="12"/>
      <c r="F213" s="41"/>
      <c r="G213" s="36"/>
      <c r="H213" s="16"/>
      <c r="I213" s="36"/>
      <c r="J213" s="16"/>
      <c r="K213" s="36"/>
      <c r="L213" s="36"/>
      <c r="M213" s="1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</row>
    <row r="214" spans="1:42" s="35" customFormat="1" ht="40.15" customHeight="1" x14ac:dyDescent="0.25">
      <c r="A214" s="79">
        <f t="shared" si="41"/>
        <v>212</v>
      </c>
      <c r="B214" s="27" t="s">
        <v>275</v>
      </c>
      <c r="C214" s="60" t="s">
        <v>45</v>
      </c>
      <c r="D214" s="63" t="s">
        <v>78</v>
      </c>
      <c r="E214" s="16"/>
      <c r="F214" s="36"/>
      <c r="G214" s="36"/>
      <c r="H214" s="16"/>
      <c r="I214" s="36"/>
      <c r="J214" s="16"/>
      <c r="K214" s="36"/>
      <c r="L214" s="36"/>
      <c r="M214" s="1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</row>
    <row r="215" spans="1:42" s="35" customFormat="1" ht="40.15" customHeight="1" x14ac:dyDescent="0.25">
      <c r="A215" s="79">
        <f t="shared" si="41"/>
        <v>213</v>
      </c>
      <c r="B215" s="27" t="s">
        <v>276</v>
      </c>
      <c r="C215" s="60" t="s">
        <v>45</v>
      </c>
      <c r="D215" s="63" t="s">
        <v>119</v>
      </c>
      <c r="E215" s="12"/>
      <c r="F215" s="41"/>
      <c r="G215" s="36"/>
      <c r="H215" s="16"/>
      <c r="I215" s="36"/>
      <c r="J215" s="16"/>
      <c r="K215" s="37"/>
      <c r="L215" s="36"/>
      <c r="M215" s="1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</row>
    <row r="216" spans="1:42" s="35" customFormat="1" ht="40.15" customHeight="1" x14ac:dyDescent="0.25">
      <c r="A216" s="79">
        <f t="shared" si="41"/>
        <v>214</v>
      </c>
      <c r="B216" s="28" t="s">
        <v>277</v>
      </c>
      <c r="C216" s="60" t="s">
        <v>45</v>
      </c>
      <c r="D216" s="62"/>
      <c r="E216" s="12"/>
      <c r="F216" s="41"/>
      <c r="G216" s="36"/>
      <c r="H216" s="16"/>
      <c r="I216" s="36"/>
      <c r="J216" s="16"/>
      <c r="K216" s="36"/>
      <c r="L216" s="36"/>
      <c r="M216" s="1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16"/>
      <c r="AN216" s="36"/>
      <c r="AO216" s="36"/>
      <c r="AP216" s="36"/>
    </row>
    <row r="217" spans="1:42" s="35" customFormat="1" ht="40.15" customHeight="1" x14ac:dyDescent="0.25">
      <c r="A217" s="79">
        <f t="shared" si="41"/>
        <v>215</v>
      </c>
      <c r="B217" s="28" t="s">
        <v>278</v>
      </c>
      <c r="C217" s="60" t="s">
        <v>45</v>
      </c>
      <c r="D217" s="62"/>
      <c r="E217" s="12"/>
      <c r="F217" s="41"/>
      <c r="G217" s="36"/>
      <c r="H217" s="18"/>
      <c r="I217" s="36"/>
      <c r="J217" s="18"/>
      <c r="K217" s="36"/>
      <c r="L217" s="36"/>
      <c r="M217" s="18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16"/>
      <c r="AN217" s="36"/>
      <c r="AO217" s="36"/>
      <c r="AP217" s="36"/>
    </row>
    <row r="218" spans="1:42" s="35" customFormat="1" ht="40.15" customHeight="1" x14ac:dyDescent="0.25">
      <c r="A218" s="79">
        <f t="shared" si="41"/>
        <v>216</v>
      </c>
      <c r="B218" s="81" t="s">
        <v>279</v>
      </c>
      <c r="C218" s="59" t="s">
        <v>45</v>
      </c>
      <c r="D218" s="63" t="s">
        <v>68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84"/>
    </row>
    <row r="219" spans="1:42" s="35" customFormat="1" ht="40.15" customHeight="1" x14ac:dyDescent="0.25">
      <c r="A219" s="79">
        <f t="shared" si="41"/>
        <v>217</v>
      </c>
      <c r="B219" s="81" t="s">
        <v>280</v>
      </c>
      <c r="C219" s="59" t="s">
        <v>45</v>
      </c>
      <c r="D219" s="63" t="s">
        <v>68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84"/>
    </row>
    <row r="220" spans="1:42" s="35" customFormat="1" ht="40.15" customHeight="1" x14ac:dyDescent="0.25">
      <c r="A220" s="79">
        <f t="shared" si="41"/>
        <v>218</v>
      </c>
      <c r="B220" s="27" t="s">
        <v>281</v>
      </c>
      <c r="C220" s="60" t="s">
        <v>45</v>
      </c>
      <c r="D220" s="63" t="s">
        <v>282</v>
      </c>
      <c r="E220" s="12"/>
      <c r="F220" s="41"/>
      <c r="G220" s="36"/>
      <c r="H220" s="16"/>
      <c r="I220" s="36"/>
      <c r="J220" s="16"/>
      <c r="K220" s="36"/>
      <c r="L220" s="36"/>
      <c r="M220" s="13"/>
      <c r="N220" s="36"/>
      <c r="O220" s="37"/>
      <c r="P220" s="36"/>
      <c r="Q220" s="36"/>
      <c r="R220" s="36"/>
      <c r="S220" s="36"/>
      <c r="T220" s="36"/>
      <c r="U220" s="37"/>
      <c r="V220" s="36"/>
      <c r="W220" s="36"/>
      <c r="X220" s="36"/>
      <c r="Y220" s="36"/>
      <c r="Z220" s="36"/>
      <c r="AA220" s="36"/>
      <c r="AB220" s="36"/>
      <c r="AC220" s="36"/>
      <c r="AD220" s="36"/>
      <c r="AE220" s="37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</row>
    <row r="221" spans="1:42" s="35" customFormat="1" ht="40.15" hidden="1" customHeight="1" x14ac:dyDescent="0.25">
      <c r="A221" s="79">
        <f t="shared" si="41"/>
        <v>219</v>
      </c>
      <c r="B221" s="27" t="s">
        <v>283</v>
      </c>
      <c r="C221" s="60" t="str">
        <f>[1]GERAL!$L$2</f>
        <v>BA</v>
      </c>
      <c r="D221" s="63" t="s">
        <v>282</v>
      </c>
      <c r="E221" s="12"/>
      <c r="F221" s="41"/>
      <c r="G221" s="36"/>
      <c r="H221" s="22"/>
      <c r="I221" s="36"/>
      <c r="J221" s="22"/>
      <c r="K221" s="36"/>
      <c r="L221" s="36"/>
      <c r="M221" s="25"/>
      <c r="N221" s="36"/>
      <c r="O221" s="37"/>
      <c r="P221" s="36"/>
      <c r="Q221" s="36"/>
      <c r="R221" s="36"/>
      <c r="S221" s="36"/>
      <c r="T221" s="36"/>
      <c r="U221" s="36"/>
      <c r="V221" s="36"/>
      <c r="W221" s="37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7"/>
      <c r="AM221" s="36"/>
      <c r="AN221" s="36"/>
      <c r="AO221" s="16"/>
      <c r="AP221" s="36"/>
    </row>
    <row r="222" spans="1:42" s="35" customFormat="1" ht="40.15" customHeight="1" x14ac:dyDescent="0.25">
      <c r="A222" s="79">
        <f t="shared" si="41"/>
        <v>220</v>
      </c>
      <c r="B222" s="81" t="s">
        <v>284</v>
      </c>
      <c r="C222" s="59" t="s">
        <v>45</v>
      </c>
      <c r="D222" s="63" t="s">
        <v>68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84"/>
    </row>
    <row r="223" spans="1:42" s="35" customFormat="1" ht="40.15" hidden="1" customHeight="1" x14ac:dyDescent="0.25">
      <c r="A223" s="79">
        <f t="shared" si="41"/>
        <v>221</v>
      </c>
      <c r="B223" s="27" t="s">
        <v>285</v>
      </c>
      <c r="C223" s="59" t="s">
        <v>47</v>
      </c>
      <c r="D223" s="63" t="s">
        <v>53</v>
      </c>
      <c r="E223" s="12"/>
      <c r="F223" s="41"/>
      <c r="G223" s="36"/>
      <c r="H223" s="16"/>
      <c r="I223" s="36"/>
      <c r="J223" s="16"/>
      <c r="K223" s="36"/>
      <c r="L223" s="36"/>
      <c r="M223" s="13"/>
      <c r="N223" s="36"/>
      <c r="O223" s="37"/>
      <c r="P223" s="36"/>
      <c r="Q223" s="36"/>
      <c r="R223" s="36"/>
      <c r="S223" s="36"/>
      <c r="T223" s="36"/>
      <c r="U223" s="36"/>
      <c r="V223" s="36"/>
      <c r="W223" s="37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7"/>
      <c r="AM223" s="36"/>
      <c r="AN223" s="36"/>
      <c r="AO223" s="36"/>
      <c r="AP223" s="36"/>
    </row>
    <row r="224" spans="1:42" s="35" customFormat="1" ht="40.15" customHeight="1" x14ac:dyDescent="0.25">
      <c r="A224" s="79">
        <f t="shared" si="41"/>
        <v>222</v>
      </c>
      <c r="B224" s="27" t="s">
        <v>286</v>
      </c>
      <c r="C224" s="60" t="s">
        <v>45</v>
      </c>
      <c r="D224" s="63" t="s">
        <v>287</v>
      </c>
      <c r="E224" s="12"/>
      <c r="F224" s="41"/>
      <c r="G224" s="36"/>
      <c r="H224" s="17"/>
      <c r="I224" s="36"/>
      <c r="J224" s="17"/>
      <c r="K224" s="36"/>
      <c r="L224" s="36"/>
      <c r="M224" s="17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7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</row>
    <row r="225" spans="1:42" s="35" customFormat="1" ht="40.15" customHeight="1" x14ac:dyDescent="0.25">
      <c r="A225" s="79">
        <f t="shared" si="41"/>
        <v>223</v>
      </c>
      <c r="B225" s="27" t="s">
        <v>288</v>
      </c>
      <c r="C225" s="60" t="s">
        <v>45</v>
      </c>
      <c r="D225" s="63" t="s">
        <v>104</v>
      </c>
      <c r="E225" s="37"/>
      <c r="F225" s="41"/>
      <c r="G225" s="36"/>
      <c r="H225" s="16"/>
      <c r="I225" s="36"/>
      <c r="J225" s="23"/>
      <c r="K225" s="36"/>
      <c r="L225" s="36"/>
      <c r="M225" s="1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7"/>
      <c r="AE225" s="36"/>
      <c r="AF225" s="37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</row>
    <row r="226" spans="1:42" s="35" customFormat="1" ht="40.15" customHeight="1" x14ac:dyDescent="0.25">
      <c r="A226" s="79">
        <f t="shared" si="41"/>
        <v>224</v>
      </c>
      <c r="B226" s="27" t="s">
        <v>289</v>
      </c>
      <c r="C226" s="60" t="s">
        <v>45</v>
      </c>
      <c r="D226" s="63" t="s">
        <v>290</v>
      </c>
      <c r="E226" s="13"/>
      <c r="F226" s="41"/>
      <c r="G226" s="37"/>
      <c r="H226" s="16"/>
      <c r="I226" s="36"/>
      <c r="J226" s="16"/>
      <c r="K226" s="36"/>
      <c r="L226" s="36"/>
      <c r="M226" s="16"/>
      <c r="N226" s="36"/>
      <c r="O226" s="36"/>
      <c r="P226" s="36"/>
      <c r="Q226" s="36"/>
      <c r="R226" s="36"/>
      <c r="S226" s="36"/>
      <c r="T226" s="36"/>
      <c r="U226" s="37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7"/>
      <c r="AP226" s="36"/>
    </row>
    <row r="227" spans="1:42" s="35" customFormat="1" ht="40.15" customHeight="1" x14ac:dyDescent="0.25">
      <c r="A227" s="79">
        <f t="shared" si="41"/>
        <v>225</v>
      </c>
      <c r="B227" s="27" t="s">
        <v>291</v>
      </c>
      <c r="C227" s="60" t="s">
        <v>45</v>
      </c>
      <c r="D227" s="63" t="s">
        <v>76</v>
      </c>
      <c r="E227" s="13"/>
      <c r="F227" s="41"/>
      <c r="G227" s="37"/>
      <c r="H227" s="16"/>
      <c r="I227" s="36"/>
      <c r="J227" s="16"/>
      <c r="K227" s="36"/>
      <c r="L227" s="36"/>
      <c r="M227" s="16"/>
      <c r="N227" s="36"/>
      <c r="O227" s="36"/>
      <c r="P227" s="36"/>
      <c r="Q227" s="36"/>
      <c r="R227" s="36"/>
      <c r="S227" s="36"/>
      <c r="T227" s="36"/>
      <c r="U227" s="37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7"/>
      <c r="AP227" s="36"/>
    </row>
    <row r="228" spans="1:42" s="35" customFormat="1" ht="40.15" customHeight="1" x14ac:dyDescent="0.25">
      <c r="A228" s="79">
        <f t="shared" si="41"/>
        <v>226</v>
      </c>
      <c r="B228" s="27" t="s">
        <v>291</v>
      </c>
      <c r="C228" s="60" t="s">
        <v>45</v>
      </c>
      <c r="D228" s="63" t="s">
        <v>76</v>
      </c>
      <c r="E228" s="12"/>
      <c r="F228" s="41"/>
      <c r="G228" s="36"/>
      <c r="H228" s="18"/>
      <c r="I228" s="36"/>
      <c r="J228" s="18"/>
      <c r="K228" s="36"/>
      <c r="L228" s="36"/>
      <c r="M228" s="18"/>
      <c r="N228" s="36"/>
      <c r="O228" s="36"/>
      <c r="P228" s="37"/>
      <c r="Q228" s="36"/>
      <c r="R228" s="36"/>
      <c r="S228" s="36"/>
      <c r="T228" s="36"/>
      <c r="U228" s="37"/>
      <c r="V228" s="37"/>
      <c r="W228" s="37"/>
      <c r="X228" s="36"/>
      <c r="Y228" s="36"/>
      <c r="Z228" s="37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</row>
    <row r="229" spans="1:42" s="35" customFormat="1" ht="40.15" hidden="1" customHeight="1" x14ac:dyDescent="0.25">
      <c r="A229" s="79">
        <f t="shared" si="41"/>
        <v>227</v>
      </c>
      <c r="B229" s="30" t="s">
        <v>292</v>
      </c>
      <c r="C229" s="59" t="s">
        <v>47</v>
      </c>
      <c r="D229" s="72" t="s">
        <v>293</v>
      </c>
      <c r="E229" s="12"/>
      <c r="F229" s="41"/>
      <c r="G229" s="36"/>
      <c r="H229" s="18"/>
      <c r="I229" s="36"/>
      <c r="J229" s="18"/>
      <c r="K229" s="36"/>
      <c r="L229" s="36"/>
      <c r="M229" s="18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1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</row>
    <row r="230" spans="1:42" s="35" customFormat="1" ht="40.15" customHeight="1" x14ac:dyDescent="0.25">
      <c r="A230" s="79">
        <f t="shared" si="41"/>
        <v>228</v>
      </c>
      <c r="B230" s="29" t="s">
        <v>294</v>
      </c>
      <c r="C230" s="60" t="s">
        <v>45</v>
      </c>
      <c r="D230" s="70" t="s">
        <v>88</v>
      </c>
      <c r="E230" s="16"/>
      <c r="F230" s="36"/>
      <c r="G230" s="36"/>
      <c r="H230" s="16"/>
      <c r="I230" s="36"/>
      <c r="J230" s="16"/>
      <c r="K230" s="36"/>
      <c r="L230" s="36"/>
      <c r="M230" s="1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</row>
    <row r="231" spans="1:42" s="35" customFormat="1" ht="40.15" customHeight="1" x14ac:dyDescent="0.25">
      <c r="A231" s="79">
        <f t="shared" si="41"/>
        <v>229</v>
      </c>
      <c r="B231" s="27" t="s">
        <v>295</v>
      </c>
      <c r="C231" s="60" t="s">
        <v>45</v>
      </c>
      <c r="D231" s="63" t="s">
        <v>104</v>
      </c>
      <c r="E231" s="12"/>
      <c r="F231" s="37"/>
      <c r="G231" s="36"/>
      <c r="H231" s="16"/>
      <c r="I231" s="36"/>
      <c r="J231" s="16"/>
      <c r="K231" s="36"/>
      <c r="L231" s="36"/>
      <c r="M231" s="1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7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</row>
    <row r="232" spans="1:42" s="35" customFormat="1" ht="40.15" customHeight="1" x14ac:dyDescent="0.25">
      <c r="A232" s="79">
        <f t="shared" si="41"/>
        <v>230</v>
      </c>
      <c r="B232" s="29" t="s">
        <v>296</v>
      </c>
      <c r="C232" s="60" t="s">
        <v>45</v>
      </c>
      <c r="D232" s="62" t="s">
        <v>53</v>
      </c>
      <c r="E232" s="12"/>
      <c r="F232" s="41"/>
      <c r="G232" s="36"/>
      <c r="H232" s="16"/>
      <c r="I232" s="36"/>
      <c r="J232" s="16"/>
      <c r="K232" s="36"/>
      <c r="L232" s="36"/>
      <c r="M232" s="37" t="s">
        <v>297</v>
      </c>
      <c r="N232" s="36"/>
      <c r="O232" s="36"/>
      <c r="P232" s="36"/>
      <c r="Q232" s="36"/>
      <c r="R232" s="36"/>
      <c r="S232" s="36"/>
      <c r="T232" s="36"/>
      <c r="U232" s="36"/>
      <c r="V232" s="36"/>
      <c r="W232" s="37"/>
      <c r="X232" s="36"/>
      <c r="Y232" s="36"/>
      <c r="Z232" s="36"/>
      <c r="AA232" s="36"/>
      <c r="AB232" s="36"/>
      <c r="AC232" s="36"/>
      <c r="AD232" s="37"/>
      <c r="AE232" s="36"/>
      <c r="AF232" s="36"/>
      <c r="AG232" s="36"/>
      <c r="AH232" s="36"/>
      <c r="AI232" s="36"/>
      <c r="AJ232" s="36"/>
      <c r="AK232" s="36"/>
      <c r="AL232" s="36"/>
      <c r="AM232" s="37"/>
      <c r="AN232" s="36"/>
      <c r="AO232" s="37"/>
      <c r="AP232" s="36"/>
    </row>
    <row r="233" spans="1:42" s="35" customFormat="1" ht="40.15" customHeight="1" x14ac:dyDescent="0.25">
      <c r="A233" s="79">
        <f t="shared" si="41"/>
        <v>231</v>
      </c>
      <c r="B233" s="29" t="s">
        <v>298</v>
      </c>
      <c r="C233" s="60" t="s">
        <v>45</v>
      </c>
      <c r="D233" s="70" t="s">
        <v>62</v>
      </c>
      <c r="E233" s="12"/>
      <c r="F233" s="41"/>
      <c r="G233" s="36"/>
      <c r="H233" s="19"/>
      <c r="I233" s="36"/>
      <c r="J233" s="19"/>
      <c r="K233" s="37"/>
      <c r="L233" s="36"/>
      <c r="M233" s="19"/>
      <c r="N233" s="36"/>
      <c r="O233" s="36"/>
      <c r="P233" s="36"/>
      <c r="Q233" s="36"/>
      <c r="R233" s="36"/>
      <c r="S233" s="36"/>
      <c r="T233" s="36"/>
      <c r="U233" s="36"/>
      <c r="V233" s="37"/>
      <c r="W233" s="37"/>
      <c r="X233" s="36"/>
      <c r="Y233" s="36"/>
      <c r="Z233" s="36"/>
      <c r="AA233" s="36"/>
      <c r="AB233" s="36"/>
      <c r="AC233" s="36"/>
      <c r="AD233" s="36"/>
      <c r="AE233" s="36"/>
      <c r="AF233" s="37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</row>
    <row r="234" spans="1:42" s="35" customFormat="1" ht="40.15" hidden="1" customHeight="1" x14ac:dyDescent="0.25">
      <c r="A234" s="79">
        <f t="shared" si="41"/>
        <v>232</v>
      </c>
      <c r="B234" s="30" t="s">
        <v>299</v>
      </c>
      <c r="C234" s="60" t="s">
        <v>47</v>
      </c>
      <c r="D234" s="72" t="s">
        <v>300</v>
      </c>
      <c r="E234" s="16"/>
      <c r="F234" s="36"/>
      <c r="G234" s="36"/>
      <c r="H234" s="19"/>
      <c r="I234" s="36"/>
      <c r="J234" s="19"/>
      <c r="K234" s="36"/>
      <c r="L234" s="36"/>
      <c r="M234" s="19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</row>
    <row r="235" spans="1:42" s="35" customFormat="1" ht="40.15" customHeight="1" x14ac:dyDescent="0.25">
      <c r="A235" s="79">
        <f t="shared" si="41"/>
        <v>233</v>
      </c>
      <c r="B235" s="27" t="s">
        <v>301</v>
      </c>
      <c r="C235" s="60" t="s">
        <v>45</v>
      </c>
      <c r="D235" s="63" t="s">
        <v>302</v>
      </c>
      <c r="E235" s="16"/>
      <c r="F235" s="36"/>
      <c r="G235" s="36"/>
      <c r="H235" s="19"/>
      <c r="I235" s="36"/>
      <c r="J235" s="19"/>
      <c r="K235" s="36"/>
      <c r="L235" s="36"/>
      <c r="M235" s="19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</row>
    <row r="236" spans="1:42" s="35" customFormat="1" ht="40.15" hidden="1" customHeight="1" x14ac:dyDescent="0.25">
      <c r="A236" s="79">
        <f t="shared" si="41"/>
        <v>234</v>
      </c>
      <c r="B236" s="28" t="s">
        <v>303</v>
      </c>
      <c r="C236" s="59" t="s">
        <v>47</v>
      </c>
      <c r="D236" s="72" t="s">
        <v>293</v>
      </c>
      <c r="E236" s="12"/>
      <c r="F236" s="41"/>
      <c r="G236" s="36"/>
      <c r="H236" s="19"/>
      <c r="I236" s="36"/>
      <c r="J236" s="19"/>
      <c r="K236" s="36"/>
      <c r="L236" s="36"/>
      <c r="M236" s="19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</row>
    <row r="237" spans="1:42" s="35" customFormat="1" ht="40.15" customHeight="1" x14ac:dyDescent="0.25">
      <c r="A237" s="79">
        <f t="shared" si="41"/>
        <v>235</v>
      </c>
      <c r="B237" s="27" t="s">
        <v>304</v>
      </c>
      <c r="C237" s="60" t="s">
        <v>45</v>
      </c>
      <c r="D237" s="63" t="s">
        <v>76</v>
      </c>
      <c r="E237" s="12"/>
      <c r="F237" s="41"/>
      <c r="G237" s="36"/>
      <c r="H237" s="16"/>
      <c r="I237" s="36"/>
      <c r="J237" s="16"/>
      <c r="K237" s="36"/>
      <c r="L237" s="36"/>
      <c r="M237" s="16"/>
      <c r="N237" s="36"/>
      <c r="O237" s="36"/>
      <c r="P237" s="36"/>
      <c r="Q237" s="36"/>
      <c r="R237" s="36"/>
      <c r="S237" s="36"/>
      <c r="T237" s="36"/>
      <c r="U237" s="37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</row>
    <row r="238" spans="1:42" s="35" customFormat="1" ht="40.15" hidden="1" customHeight="1" x14ac:dyDescent="0.25">
      <c r="A238" s="79">
        <f t="shared" si="41"/>
        <v>236</v>
      </c>
      <c r="B238" s="28" t="s">
        <v>305</v>
      </c>
      <c r="C238" s="60" t="s">
        <v>306</v>
      </c>
      <c r="D238" s="62" t="s">
        <v>307</v>
      </c>
      <c r="E238" s="12"/>
      <c r="F238" s="41"/>
      <c r="G238" s="36"/>
      <c r="H238" s="17"/>
      <c r="I238" s="36"/>
      <c r="J238" s="17"/>
      <c r="K238" s="36"/>
      <c r="L238" s="36"/>
      <c r="M238" s="17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</row>
    <row r="239" spans="1:42" s="35" customFormat="1" ht="40.15" customHeight="1" x14ac:dyDescent="0.25">
      <c r="A239" s="79">
        <f t="shared" si="41"/>
        <v>237</v>
      </c>
      <c r="B239" s="27" t="s">
        <v>308</v>
      </c>
      <c r="C239" s="60" t="s">
        <v>45</v>
      </c>
      <c r="D239" s="63" t="s">
        <v>282</v>
      </c>
      <c r="E239" s="12"/>
      <c r="F239" s="41"/>
      <c r="G239" s="36"/>
      <c r="H239" s="16"/>
      <c r="I239" s="36"/>
      <c r="J239" s="16"/>
      <c r="K239" s="36"/>
      <c r="L239" s="36"/>
      <c r="M239" s="1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</row>
    <row r="240" spans="1:42" s="35" customFormat="1" ht="40.15" customHeight="1" x14ac:dyDescent="0.25">
      <c r="A240" s="79">
        <f t="shared" si="41"/>
        <v>238</v>
      </c>
      <c r="B240" s="27" t="s">
        <v>308</v>
      </c>
      <c r="C240" s="60" t="s">
        <v>45</v>
      </c>
      <c r="D240" s="63" t="s">
        <v>282</v>
      </c>
      <c r="E240" s="12"/>
      <c r="F240" s="41"/>
      <c r="G240" s="36"/>
      <c r="H240" s="16"/>
      <c r="I240" s="36"/>
      <c r="J240" s="16"/>
      <c r="K240" s="36"/>
      <c r="L240" s="36"/>
      <c r="M240" s="1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</row>
    <row r="241" spans="1:42" s="35" customFormat="1" ht="40.15" customHeight="1" x14ac:dyDescent="0.25">
      <c r="A241" s="79">
        <f t="shared" si="41"/>
        <v>239</v>
      </c>
      <c r="B241" s="28" t="s">
        <v>309</v>
      </c>
      <c r="C241" s="60" t="s">
        <v>45</v>
      </c>
      <c r="D241" s="62"/>
      <c r="E241" s="12"/>
      <c r="F241" s="41"/>
      <c r="G241" s="36"/>
      <c r="H241" s="16"/>
      <c r="I241" s="36"/>
      <c r="J241" s="16"/>
      <c r="K241" s="36"/>
      <c r="L241" s="36"/>
      <c r="M241" s="1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</row>
    <row r="242" spans="1:42" s="35" customFormat="1" ht="40.15" hidden="1" customHeight="1" x14ac:dyDescent="0.25">
      <c r="A242" s="79">
        <f t="shared" si="41"/>
        <v>240</v>
      </c>
      <c r="B242" s="17" t="s">
        <v>310</v>
      </c>
      <c r="C242" s="60" t="s">
        <v>73</v>
      </c>
      <c r="D242" s="62"/>
      <c r="E242" s="12"/>
      <c r="F242" s="41"/>
      <c r="G242" s="36"/>
      <c r="H242" s="16"/>
      <c r="I242" s="36"/>
      <c r="J242" s="16"/>
      <c r="K242" s="36"/>
      <c r="L242" s="36"/>
      <c r="M242" s="1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</row>
    <row r="243" spans="1:42" s="35" customFormat="1" ht="40.15" customHeight="1" x14ac:dyDescent="0.25">
      <c r="A243" s="79">
        <f t="shared" si="41"/>
        <v>241</v>
      </c>
      <c r="B243" s="81" t="s">
        <v>311</v>
      </c>
      <c r="C243" s="59" t="s">
        <v>45</v>
      </c>
      <c r="D243" s="63" t="s">
        <v>68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84"/>
    </row>
    <row r="244" spans="1:42" s="35" customFormat="1" ht="40.15" customHeight="1" x14ac:dyDescent="0.25">
      <c r="A244" s="79">
        <f t="shared" si="41"/>
        <v>242</v>
      </c>
      <c r="B244" s="29" t="s">
        <v>312</v>
      </c>
      <c r="C244" s="60" t="s">
        <v>45</v>
      </c>
      <c r="D244" s="70" t="s">
        <v>313</v>
      </c>
      <c r="E244" s="12"/>
      <c r="F244" s="41"/>
      <c r="G244" s="36"/>
      <c r="H244" s="16"/>
      <c r="I244" s="36"/>
      <c r="J244" s="13"/>
      <c r="K244" s="36"/>
      <c r="L244" s="36"/>
      <c r="M244" s="13"/>
      <c r="N244" s="36"/>
      <c r="O244" s="37"/>
      <c r="P244" s="37"/>
      <c r="Q244" s="36"/>
      <c r="R244" s="36"/>
      <c r="S244" s="36"/>
      <c r="T244" s="36"/>
      <c r="U244" s="37"/>
      <c r="V244" s="36"/>
      <c r="W244" s="37"/>
      <c r="X244" s="36"/>
      <c r="Y244" s="36"/>
      <c r="Z244" s="36"/>
      <c r="AA244" s="36"/>
      <c r="AB244" s="36"/>
      <c r="AC244" s="36"/>
      <c r="AD244" s="37"/>
      <c r="AE244" s="37"/>
      <c r="AF244" s="37"/>
      <c r="AG244" s="36"/>
      <c r="AH244" s="36"/>
      <c r="AI244" s="36"/>
      <c r="AJ244" s="36"/>
      <c r="AK244" s="36"/>
      <c r="AL244" s="36"/>
      <c r="AM244" s="36"/>
      <c r="AN244" s="36"/>
      <c r="AO244" s="37"/>
      <c r="AP244" s="36"/>
    </row>
    <row r="245" spans="1:42" s="35" customFormat="1" ht="40.15" customHeight="1" x14ac:dyDescent="0.25">
      <c r="A245" s="79">
        <f t="shared" si="41"/>
        <v>243</v>
      </c>
      <c r="B245" s="27" t="s">
        <v>314</v>
      </c>
      <c r="C245" s="60" t="s">
        <v>45</v>
      </c>
      <c r="D245" s="63" t="s">
        <v>58</v>
      </c>
      <c r="E245" s="12"/>
      <c r="F245" s="41"/>
      <c r="G245" s="36"/>
      <c r="H245" s="16"/>
      <c r="I245" s="36"/>
      <c r="J245" s="16"/>
      <c r="K245" s="36"/>
      <c r="L245" s="36"/>
      <c r="M245" s="1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7"/>
      <c r="AM245" s="36"/>
      <c r="AN245" s="36"/>
      <c r="AO245" s="36"/>
      <c r="AP245" s="36"/>
    </row>
    <row r="246" spans="1:42" s="35" customFormat="1" ht="40.15" customHeight="1" x14ac:dyDescent="0.25">
      <c r="A246" s="79">
        <f t="shared" si="41"/>
        <v>244</v>
      </c>
      <c r="B246" s="29" t="s">
        <v>315</v>
      </c>
      <c r="C246" s="60" t="s">
        <v>45</v>
      </c>
      <c r="D246" s="70" t="s">
        <v>102</v>
      </c>
      <c r="E246" s="12"/>
      <c r="F246" s="41"/>
      <c r="G246" s="36"/>
      <c r="H246" s="16"/>
      <c r="I246" s="36"/>
      <c r="J246" s="16"/>
      <c r="K246" s="36"/>
      <c r="L246" s="36"/>
      <c r="M246" s="1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</row>
    <row r="247" spans="1:42" s="35" customFormat="1" ht="40.15" customHeight="1" x14ac:dyDescent="0.25">
      <c r="A247" s="79">
        <f t="shared" si="41"/>
        <v>245</v>
      </c>
      <c r="B247" s="81" t="s">
        <v>316</v>
      </c>
      <c r="C247" s="59" t="s">
        <v>45</v>
      </c>
      <c r="D247" s="63" t="s">
        <v>68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84"/>
    </row>
    <row r="248" spans="1:42" s="35" customFormat="1" ht="40.15" customHeight="1" x14ac:dyDescent="0.25">
      <c r="A248" s="79">
        <f t="shared" si="41"/>
        <v>246</v>
      </c>
      <c r="B248" s="27" t="s">
        <v>317</v>
      </c>
      <c r="C248" s="60" t="s">
        <v>45</v>
      </c>
      <c r="D248" s="63" t="s">
        <v>318</v>
      </c>
      <c r="E248" s="12"/>
      <c r="F248" s="41"/>
      <c r="G248" s="36"/>
      <c r="H248" s="16"/>
      <c r="I248" s="36"/>
      <c r="J248" s="16"/>
      <c r="K248" s="36"/>
      <c r="L248" s="36"/>
      <c r="M248" s="16"/>
      <c r="N248" s="36"/>
      <c r="O248" s="37"/>
      <c r="P248" s="36"/>
      <c r="Q248" s="36"/>
      <c r="R248" s="36"/>
      <c r="S248" s="36"/>
      <c r="T248" s="36"/>
      <c r="U248" s="37"/>
      <c r="V248" s="36"/>
      <c r="W248" s="37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7"/>
      <c r="AM248" s="36"/>
      <c r="AN248" s="36"/>
      <c r="AO248" s="37"/>
      <c r="AP248" s="36"/>
    </row>
    <row r="249" spans="1:42" s="35" customFormat="1" ht="40.15" customHeight="1" x14ac:dyDescent="0.25">
      <c r="A249" s="79">
        <f t="shared" si="41"/>
        <v>247</v>
      </c>
      <c r="B249" s="27" t="s">
        <v>319</v>
      </c>
      <c r="C249" s="60" t="s">
        <v>45</v>
      </c>
      <c r="D249" s="63" t="s">
        <v>320</v>
      </c>
      <c r="E249" s="12"/>
      <c r="F249" s="41"/>
      <c r="G249" s="36"/>
      <c r="H249" s="16"/>
      <c r="I249" s="36"/>
      <c r="J249" s="1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</row>
    <row r="250" spans="1:42" s="35" customFormat="1" ht="40.15" hidden="1" customHeight="1" x14ac:dyDescent="0.25">
      <c r="A250" s="79">
        <f t="shared" si="41"/>
        <v>248</v>
      </c>
      <c r="B250" s="27" t="s">
        <v>321</v>
      </c>
      <c r="C250" s="60" t="s">
        <v>73</v>
      </c>
      <c r="D250" s="63" t="s">
        <v>322</v>
      </c>
      <c r="E250" s="12"/>
      <c r="F250" s="41"/>
      <c r="G250" s="36"/>
      <c r="H250" s="19"/>
      <c r="I250" s="36"/>
      <c r="J250" s="19"/>
      <c r="K250" s="36"/>
      <c r="L250" s="36"/>
      <c r="M250" s="19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7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</row>
    <row r="251" spans="1:42" s="35" customFormat="1" ht="40.15" hidden="1" customHeight="1" x14ac:dyDescent="0.25">
      <c r="A251" s="79">
        <f t="shared" si="41"/>
        <v>249</v>
      </c>
      <c r="B251" s="27" t="s">
        <v>323</v>
      </c>
      <c r="C251" s="59" t="s">
        <v>47</v>
      </c>
      <c r="D251" s="63" t="s">
        <v>324</v>
      </c>
      <c r="E251" s="12"/>
      <c r="F251" s="41"/>
      <c r="G251" s="36"/>
      <c r="H251" s="16"/>
      <c r="I251" s="36"/>
      <c r="J251" s="16"/>
      <c r="K251" s="36"/>
      <c r="L251" s="36"/>
      <c r="M251" s="1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7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</row>
    <row r="252" spans="1:42" s="35" customFormat="1" ht="40.15" customHeight="1" x14ac:dyDescent="0.25">
      <c r="A252" s="79">
        <f t="shared" si="41"/>
        <v>250</v>
      </c>
      <c r="B252" s="27" t="s">
        <v>325</v>
      </c>
      <c r="C252" s="60" t="s">
        <v>45</v>
      </c>
      <c r="D252" s="63" t="s">
        <v>326</v>
      </c>
      <c r="E252" s="12"/>
      <c r="F252" s="37"/>
      <c r="G252" s="37"/>
      <c r="H252" s="18"/>
      <c r="I252" s="36"/>
      <c r="J252" s="18"/>
      <c r="K252" s="36"/>
      <c r="L252" s="36"/>
      <c r="M252" s="18"/>
      <c r="N252" s="36"/>
      <c r="O252" s="36"/>
      <c r="P252" s="16"/>
      <c r="Q252" s="36"/>
      <c r="R252" s="36"/>
      <c r="S252" s="36"/>
      <c r="T252" s="36"/>
      <c r="U252" s="37"/>
      <c r="V252" s="36"/>
      <c r="W252" s="36"/>
      <c r="X252" s="36"/>
      <c r="Y252" s="36"/>
      <c r="Z252" s="37"/>
      <c r="AA252" s="36"/>
      <c r="AB252" s="36"/>
      <c r="AC252" s="36"/>
      <c r="AD252" s="37"/>
      <c r="AE252" s="37"/>
      <c r="AF252" s="36"/>
      <c r="AG252" s="36"/>
      <c r="AH252" s="36"/>
      <c r="AI252" s="36"/>
      <c r="AJ252" s="36"/>
      <c r="AK252" s="36"/>
      <c r="AL252" s="36"/>
      <c r="AM252" s="36"/>
      <c r="AN252" s="36"/>
      <c r="AO252" s="37"/>
      <c r="AP252" s="36"/>
    </row>
    <row r="253" spans="1:42" s="35" customFormat="1" ht="40.15" hidden="1" customHeight="1" x14ac:dyDescent="0.25">
      <c r="A253" s="79">
        <f t="shared" si="41"/>
        <v>251</v>
      </c>
      <c r="B253" s="27" t="s">
        <v>327</v>
      </c>
      <c r="C253" s="60" t="str">
        <f>[1]GERAL!$L$2</f>
        <v>BA</v>
      </c>
      <c r="D253" s="63" t="s">
        <v>119</v>
      </c>
      <c r="E253" s="12"/>
      <c r="F253" s="41"/>
      <c r="G253" s="36"/>
      <c r="H253" s="36"/>
      <c r="I253" s="36"/>
      <c r="J253" s="16"/>
      <c r="K253" s="37"/>
      <c r="L253" s="36"/>
      <c r="M253" s="1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</row>
    <row r="254" spans="1:42" s="35" customFormat="1" ht="40.15" customHeight="1" x14ac:dyDescent="0.25">
      <c r="A254" s="79">
        <f t="shared" si="41"/>
        <v>252</v>
      </c>
      <c r="B254" s="27" t="s">
        <v>328</v>
      </c>
      <c r="C254" s="60" t="s">
        <v>45</v>
      </c>
      <c r="D254" s="63" t="s">
        <v>119</v>
      </c>
      <c r="E254" s="12"/>
      <c r="F254" s="41"/>
      <c r="G254" s="36"/>
      <c r="H254" s="16"/>
      <c r="I254" s="36"/>
      <c r="J254" s="16"/>
      <c r="K254" s="37"/>
      <c r="L254" s="36"/>
      <c r="M254" s="1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</row>
    <row r="255" spans="1:42" s="35" customFormat="1" ht="40.15" customHeight="1" x14ac:dyDescent="0.25">
      <c r="A255" s="79">
        <f t="shared" si="41"/>
        <v>253</v>
      </c>
      <c r="B255" s="27" t="s">
        <v>329</v>
      </c>
      <c r="C255" s="59" t="s">
        <v>45</v>
      </c>
      <c r="D255" s="63"/>
      <c r="E255" s="12"/>
      <c r="F255" s="41"/>
      <c r="G255" s="36"/>
      <c r="H255" s="18"/>
      <c r="I255" s="36"/>
      <c r="J255" s="18"/>
      <c r="K255" s="36"/>
      <c r="L255" s="36"/>
      <c r="M255" s="18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8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7"/>
      <c r="AP255" s="36"/>
    </row>
    <row r="256" spans="1:42" s="35" customFormat="1" ht="40.15" hidden="1" customHeight="1" x14ac:dyDescent="0.25">
      <c r="A256" s="79">
        <f t="shared" si="41"/>
        <v>254</v>
      </c>
      <c r="B256" s="27" t="s">
        <v>330</v>
      </c>
      <c r="C256" s="59" t="s">
        <v>47</v>
      </c>
      <c r="D256" s="63" t="s">
        <v>78</v>
      </c>
      <c r="E256" s="12"/>
      <c r="F256" s="41"/>
      <c r="G256" s="36"/>
      <c r="H256" s="16"/>
      <c r="I256" s="36"/>
      <c r="J256" s="16"/>
      <c r="K256" s="36"/>
      <c r="L256" s="36"/>
      <c r="M256" s="1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</row>
    <row r="257" spans="1:42" s="35" customFormat="1" ht="40.15" customHeight="1" x14ac:dyDescent="0.25">
      <c r="A257" s="79">
        <f t="shared" si="41"/>
        <v>255</v>
      </c>
      <c r="B257" s="81" t="s">
        <v>331</v>
      </c>
      <c r="C257" s="59" t="s">
        <v>45</v>
      </c>
      <c r="D257" s="63" t="s">
        <v>68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84"/>
    </row>
    <row r="258" spans="1:42" s="35" customFormat="1" ht="40.15" hidden="1" customHeight="1" x14ac:dyDescent="0.25">
      <c r="A258" s="79">
        <f t="shared" si="41"/>
        <v>256</v>
      </c>
      <c r="B258" s="86" t="s">
        <v>332</v>
      </c>
      <c r="C258" s="60" t="s">
        <v>166</v>
      </c>
      <c r="D258" s="62" t="s">
        <v>333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87"/>
    </row>
    <row r="259" spans="1:42" s="35" customFormat="1" ht="40.15" hidden="1" customHeight="1" x14ac:dyDescent="0.25">
      <c r="A259" s="79">
        <f t="shared" si="41"/>
        <v>257</v>
      </c>
      <c r="B259" s="28" t="s">
        <v>334</v>
      </c>
      <c r="C259" s="60" t="s">
        <v>73</v>
      </c>
      <c r="D259" s="62" t="s">
        <v>104</v>
      </c>
      <c r="E259" s="12"/>
      <c r="F259" s="41"/>
      <c r="G259" s="36"/>
      <c r="H259" s="16"/>
      <c r="I259" s="36"/>
      <c r="J259" s="16"/>
      <c r="K259" s="36"/>
      <c r="L259" s="36"/>
      <c r="M259" s="1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</row>
    <row r="260" spans="1:42" s="35" customFormat="1" ht="40.15" customHeight="1" x14ac:dyDescent="0.25">
      <c r="A260" s="79">
        <f t="shared" si="41"/>
        <v>258</v>
      </c>
      <c r="B260" s="27" t="s">
        <v>335</v>
      </c>
      <c r="C260" s="60" t="s">
        <v>45</v>
      </c>
      <c r="D260" s="63" t="s">
        <v>104</v>
      </c>
      <c r="E260" s="12"/>
      <c r="F260" s="37"/>
      <c r="G260" s="36"/>
      <c r="H260" s="13"/>
      <c r="I260" s="36"/>
      <c r="J260" s="13"/>
      <c r="K260" s="36"/>
      <c r="L260" s="36"/>
      <c r="M260" s="1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7"/>
      <c r="AG260" s="36"/>
      <c r="AH260" s="36"/>
      <c r="AI260" s="36"/>
      <c r="AJ260" s="36"/>
      <c r="AK260" s="36"/>
      <c r="AL260" s="36"/>
      <c r="AM260" s="36"/>
      <c r="AN260" s="36"/>
      <c r="AO260" s="37"/>
      <c r="AP260" s="36"/>
    </row>
    <row r="261" spans="1:42" s="35" customFormat="1" ht="40.15" hidden="1" customHeight="1" x14ac:dyDescent="0.25">
      <c r="A261" s="79">
        <f t="shared" si="41"/>
        <v>259</v>
      </c>
      <c r="B261" s="28" t="s">
        <v>336</v>
      </c>
      <c r="C261" s="60" t="s">
        <v>47</v>
      </c>
      <c r="D261" s="62" t="s">
        <v>337</v>
      </c>
      <c r="E261" s="16"/>
      <c r="F261" s="36"/>
      <c r="G261" s="36"/>
      <c r="H261" s="16"/>
      <c r="I261" s="36"/>
      <c r="J261" s="16"/>
      <c r="K261" s="36"/>
      <c r="L261" s="36"/>
      <c r="M261" s="1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</row>
    <row r="262" spans="1:42" s="35" customFormat="1" ht="40.15" customHeight="1" x14ac:dyDescent="0.25">
      <c r="A262" s="79">
        <f t="shared" si="41"/>
        <v>260</v>
      </c>
      <c r="B262" s="27" t="s">
        <v>338</v>
      </c>
      <c r="C262" s="60" t="s">
        <v>45</v>
      </c>
      <c r="D262" s="63" t="s">
        <v>339</v>
      </c>
      <c r="E262" s="12"/>
      <c r="F262" s="41"/>
      <c r="G262" s="36"/>
      <c r="H262" s="16"/>
      <c r="I262" s="36"/>
      <c r="J262" s="16"/>
      <c r="K262" s="36"/>
      <c r="L262" s="36"/>
      <c r="M262" s="18"/>
      <c r="N262" s="36"/>
      <c r="O262" s="1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7"/>
      <c r="AF262" s="36"/>
      <c r="AG262" s="36"/>
      <c r="AH262" s="36"/>
      <c r="AI262" s="36"/>
      <c r="AJ262" s="36"/>
      <c r="AK262" s="36"/>
      <c r="AL262" s="16"/>
      <c r="AM262" s="36"/>
      <c r="AN262" s="36"/>
      <c r="AO262" s="36"/>
      <c r="AP262" s="36"/>
    </row>
    <row r="263" spans="1:42" s="35" customFormat="1" ht="40.15" customHeight="1" x14ac:dyDescent="0.25">
      <c r="A263" s="79">
        <f t="shared" si="41"/>
        <v>261</v>
      </c>
      <c r="B263" s="27" t="s">
        <v>340</v>
      </c>
      <c r="C263" s="60" t="s">
        <v>45</v>
      </c>
      <c r="D263" s="63" t="s">
        <v>119</v>
      </c>
      <c r="E263" s="12"/>
      <c r="F263" s="41"/>
      <c r="G263" s="36"/>
      <c r="H263" s="16"/>
      <c r="I263" s="36"/>
      <c r="J263" s="16"/>
      <c r="K263" s="37"/>
      <c r="L263" s="36"/>
      <c r="M263" s="1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</row>
    <row r="264" spans="1:42" s="35" customFormat="1" ht="40.15" customHeight="1" x14ac:dyDescent="0.25">
      <c r="A264" s="79">
        <f t="shared" si="41"/>
        <v>262</v>
      </c>
      <c r="B264" s="27" t="s">
        <v>341</v>
      </c>
      <c r="C264" s="60" t="s">
        <v>45</v>
      </c>
      <c r="D264" s="63" t="s">
        <v>342</v>
      </c>
      <c r="E264" s="12"/>
      <c r="F264" s="41"/>
      <c r="G264" s="36"/>
      <c r="H264" s="18"/>
      <c r="I264" s="36"/>
      <c r="J264" s="18"/>
      <c r="K264" s="36"/>
      <c r="L264" s="36"/>
      <c r="M264" s="18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</row>
    <row r="265" spans="1:42" s="35" customFormat="1" ht="40.15" customHeight="1" x14ac:dyDescent="0.25">
      <c r="A265" s="79">
        <f t="shared" si="41"/>
        <v>263</v>
      </c>
      <c r="B265" s="81" t="s">
        <v>343</v>
      </c>
      <c r="C265" s="59" t="s">
        <v>45</v>
      </c>
      <c r="D265" s="63" t="s">
        <v>81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84"/>
    </row>
    <row r="266" spans="1:42" s="35" customFormat="1" ht="40.15" customHeight="1" x14ac:dyDescent="0.25">
      <c r="A266" s="79">
        <f t="shared" ref="A266:A329" si="42">A265+1</f>
        <v>264</v>
      </c>
      <c r="B266" s="27" t="s">
        <v>344</v>
      </c>
      <c r="C266" s="60" t="s">
        <v>45</v>
      </c>
      <c r="D266" s="63" t="s">
        <v>282</v>
      </c>
      <c r="E266" s="12"/>
      <c r="F266" s="41"/>
      <c r="G266" s="36"/>
      <c r="H266" s="18"/>
      <c r="I266" s="36"/>
      <c r="J266" s="18"/>
      <c r="K266" s="36"/>
      <c r="L266" s="36"/>
      <c r="M266" s="18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</row>
    <row r="267" spans="1:42" s="35" customFormat="1" ht="40.15" customHeight="1" x14ac:dyDescent="0.25">
      <c r="A267" s="79">
        <f t="shared" si="42"/>
        <v>265</v>
      </c>
      <c r="B267" s="81" t="s">
        <v>345</v>
      </c>
      <c r="C267" s="59" t="s">
        <v>45</v>
      </c>
      <c r="D267" s="63" t="s">
        <v>346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84"/>
    </row>
    <row r="268" spans="1:42" s="35" customFormat="1" ht="40.15" customHeight="1" x14ac:dyDescent="0.25">
      <c r="A268" s="79">
        <f t="shared" si="42"/>
        <v>266</v>
      </c>
      <c r="B268" s="29" t="s">
        <v>347</v>
      </c>
      <c r="C268" s="60" t="s">
        <v>45</v>
      </c>
      <c r="D268" s="70" t="s">
        <v>197</v>
      </c>
      <c r="E268" s="12"/>
      <c r="F268" s="41"/>
      <c r="G268" s="36"/>
      <c r="H268" s="19"/>
      <c r="I268" s="36"/>
      <c r="J268" s="19"/>
      <c r="K268" s="36"/>
      <c r="L268" s="36"/>
      <c r="M268" s="19"/>
      <c r="N268" s="36"/>
      <c r="O268" s="36"/>
      <c r="P268" s="36"/>
      <c r="Q268" s="36"/>
      <c r="R268" s="36"/>
      <c r="S268" s="36"/>
      <c r="T268" s="36"/>
      <c r="U268" s="36"/>
      <c r="V268" s="36"/>
      <c r="W268" s="37"/>
      <c r="X268" s="37"/>
      <c r="Y268" s="36"/>
      <c r="Z268" s="36"/>
      <c r="AA268" s="36"/>
      <c r="AB268" s="36"/>
      <c r="AC268" s="36"/>
      <c r="AD268" s="37"/>
      <c r="AE268" s="36"/>
      <c r="AF268" s="37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</row>
    <row r="269" spans="1:42" s="35" customFormat="1" ht="40.15" customHeight="1" x14ac:dyDescent="0.25">
      <c r="A269" s="79">
        <f t="shared" si="42"/>
        <v>267</v>
      </c>
      <c r="B269" s="29" t="s">
        <v>347</v>
      </c>
      <c r="C269" s="60" t="s">
        <v>45</v>
      </c>
      <c r="D269" s="70" t="s">
        <v>348</v>
      </c>
      <c r="E269" s="12"/>
      <c r="F269" s="41"/>
      <c r="G269" s="36"/>
      <c r="H269" s="19"/>
      <c r="I269" s="36"/>
      <c r="J269" s="19"/>
      <c r="K269" s="36"/>
      <c r="L269" s="36"/>
      <c r="M269" s="19"/>
      <c r="N269" s="36"/>
      <c r="O269" s="36"/>
      <c r="P269" s="36"/>
      <c r="Q269" s="36"/>
      <c r="R269" s="36"/>
      <c r="S269" s="36"/>
      <c r="T269" s="36"/>
      <c r="U269" s="36"/>
      <c r="V269" s="36"/>
      <c r="W269" s="37"/>
      <c r="X269" s="37"/>
      <c r="Y269" s="36"/>
      <c r="Z269" s="36"/>
      <c r="AA269" s="36"/>
      <c r="AB269" s="36"/>
      <c r="AC269" s="36"/>
      <c r="AD269" s="37"/>
      <c r="AE269" s="36"/>
      <c r="AF269" s="37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</row>
    <row r="270" spans="1:42" s="35" customFormat="1" ht="40.15" customHeight="1" x14ac:dyDescent="0.25">
      <c r="A270" s="79">
        <f t="shared" si="42"/>
        <v>268</v>
      </c>
      <c r="B270" s="27" t="s">
        <v>349</v>
      </c>
      <c r="C270" s="60" t="s">
        <v>45</v>
      </c>
      <c r="D270" s="63" t="s">
        <v>102</v>
      </c>
      <c r="E270" s="16"/>
      <c r="F270" s="36"/>
      <c r="G270" s="36"/>
      <c r="H270" s="16"/>
      <c r="I270" s="36"/>
      <c r="J270" s="16"/>
      <c r="K270" s="36"/>
      <c r="L270" s="36"/>
      <c r="M270" s="18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7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</row>
    <row r="271" spans="1:42" s="35" customFormat="1" ht="40.15" customHeight="1" x14ac:dyDescent="0.25">
      <c r="A271" s="79">
        <f t="shared" si="42"/>
        <v>269</v>
      </c>
      <c r="B271" s="27" t="s">
        <v>350</v>
      </c>
      <c r="C271" s="60" t="s">
        <v>45</v>
      </c>
      <c r="D271" s="63" t="s">
        <v>119</v>
      </c>
      <c r="E271" s="12"/>
      <c r="F271" s="41"/>
      <c r="G271" s="36"/>
      <c r="H271" s="16"/>
      <c r="I271" s="36"/>
      <c r="J271" s="16"/>
      <c r="K271" s="38"/>
      <c r="L271" s="36"/>
      <c r="M271" s="1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</row>
    <row r="272" spans="1:42" s="35" customFormat="1" ht="40.15" customHeight="1" x14ac:dyDescent="0.25">
      <c r="A272" s="79">
        <f t="shared" si="42"/>
        <v>270</v>
      </c>
      <c r="B272" s="27" t="s">
        <v>351</v>
      </c>
      <c r="C272" s="59" t="s">
        <v>45</v>
      </c>
      <c r="D272" s="62" t="s">
        <v>53</v>
      </c>
      <c r="E272" s="12"/>
      <c r="F272" s="41"/>
      <c r="G272" s="36"/>
      <c r="H272" s="16"/>
      <c r="I272" s="36"/>
      <c r="J272" s="16"/>
      <c r="K272" s="36"/>
      <c r="L272" s="36"/>
      <c r="M272" s="16"/>
      <c r="N272" s="36"/>
      <c r="O272" s="36"/>
      <c r="P272" s="36"/>
      <c r="Q272" s="37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</row>
    <row r="273" spans="1:42" s="35" customFormat="1" ht="40.15" customHeight="1" x14ac:dyDescent="0.25">
      <c r="A273" s="79">
        <f t="shared" si="42"/>
        <v>271</v>
      </c>
      <c r="B273" s="27" t="s">
        <v>352</v>
      </c>
      <c r="C273" s="59" t="s">
        <v>45</v>
      </c>
      <c r="D273" s="62" t="s">
        <v>53</v>
      </c>
      <c r="E273" s="12"/>
      <c r="F273" s="41"/>
      <c r="G273" s="36"/>
      <c r="H273" s="16"/>
      <c r="I273" s="36"/>
      <c r="J273" s="16"/>
      <c r="K273" s="36"/>
      <c r="L273" s="36"/>
      <c r="M273" s="1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7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</row>
    <row r="274" spans="1:42" s="35" customFormat="1" ht="40.15" customHeight="1" x14ac:dyDescent="0.25">
      <c r="A274" s="79">
        <f t="shared" si="42"/>
        <v>272</v>
      </c>
      <c r="B274" s="27" t="s">
        <v>353</v>
      </c>
      <c r="C274" s="60" t="s">
        <v>45</v>
      </c>
      <c r="D274" s="62" t="s">
        <v>53</v>
      </c>
      <c r="E274" s="12"/>
      <c r="F274" s="41"/>
      <c r="G274" s="37"/>
      <c r="H274" s="16"/>
      <c r="I274" s="36"/>
      <c r="J274" s="16"/>
      <c r="K274" s="36"/>
      <c r="L274" s="36"/>
      <c r="M274" s="16"/>
      <c r="N274" s="36"/>
      <c r="O274" s="36"/>
      <c r="P274" s="36"/>
      <c r="Q274" s="36"/>
      <c r="R274" s="36"/>
      <c r="S274" s="36"/>
      <c r="T274" s="36"/>
      <c r="U274" s="36"/>
      <c r="V274" s="36"/>
      <c r="W274" s="37"/>
      <c r="X274" s="36"/>
      <c r="Y274" s="36"/>
      <c r="Z274" s="41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7"/>
      <c r="AM274" s="36"/>
      <c r="AN274" s="36"/>
      <c r="AO274" s="36"/>
      <c r="AP274" s="36"/>
    </row>
    <row r="275" spans="1:42" s="35" customFormat="1" ht="40.15" customHeight="1" x14ac:dyDescent="0.25">
      <c r="A275" s="79">
        <f t="shared" si="42"/>
        <v>273</v>
      </c>
      <c r="B275" s="27" t="s">
        <v>353</v>
      </c>
      <c r="C275" s="60" t="s">
        <v>45</v>
      </c>
      <c r="D275" s="62" t="s">
        <v>53</v>
      </c>
      <c r="E275" s="12"/>
      <c r="F275" s="41"/>
      <c r="G275" s="37"/>
      <c r="H275" s="16"/>
      <c r="I275" s="36"/>
      <c r="J275" s="16"/>
      <c r="K275" s="36"/>
      <c r="L275" s="36"/>
      <c r="M275" s="16"/>
      <c r="N275" s="36"/>
      <c r="O275" s="36"/>
      <c r="P275" s="36"/>
      <c r="Q275" s="36"/>
      <c r="R275" s="36"/>
      <c r="S275" s="36"/>
      <c r="T275" s="36"/>
      <c r="U275" s="36"/>
      <c r="V275" s="36"/>
      <c r="W275" s="37"/>
      <c r="X275" s="36"/>
      <c r="Y275" s="36"/>
      <c r="Z275" s="41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7"/>
      <c r="AM275" s="36"/>
      <c r="AN275" s="36"/>
      <c r="AO275" s="36"/>
      <c r="AP275" s="36"/>
    </row>
    <row r="276" spans="1:42" s="35" customFormat="1" ht="40.15" customHeight="1" x14ac:dyDescent="0.25">
      <c r="A276" s="79">
        <f t="shared" si="42"/>
        <v>274</v>
      </c>
      <c r="B276" s="27" t="s">
        <v>354</v>
      </c>
      <c r="C276" s="60" t="s">
        <v>45</v>
      </c>
      <c r="D276" s="63" t="s">
        <v>355</v>
      </c>
      <c r="E276" s="12"/>
      <c r="F276" s="41"/>
      <c r="G276" s="36"/>
      <c r="H276" s="19"/>
      <c r="I276" s="36"/>
      <c r="J276" s="19"/>
      <c r="K276" s="36"/>
      <c r="L276" s="36"/>
      <c r="M276" s="19"/>
      <c r="N276" s="36"/>
      <c r="O276" s="36"/>
      <c r="P276" s="36"/>
      <c r="Q276" s="36"/>
      <c r="R276" s="36"/>
      <c r="S276" s="36"/>
      <c r="T276" s="37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7"/>
      <c r="AF276" s="37"/>
      <c r="AG276" s="36"/>
      <c r="AH276" s="36"/>
      <c r="AI276" s="36"/>
      <c r="AJ276" s="36"/>
      <c r="AK276" s="36"/>
      <c r="AL276" s="37"/>
      <c r="AM276" s="36"/>
      <c r="AN276" s="36"/>
      <c r="AO276" s="36"/>
      <c r="AP276" s="36"/>
    </row>
    <row r="277" spans="1:42" s="35" customFormat="1" ht="40.15" customHeight="1" x14ac:dyDescent="0.25">
      <c r="A277" s="79">
        <f t="shared" si="42"/>
        <v>275</v>
      </c>
      <c r="B277" s="81" t="s">
        <v>356</v>
      </c>
      <c r="C277" s="59" t="s">
        <v>45</v>
      </c>
      <c r="D277" s="63" t="s">
        <v>68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84"/>
    </row>
    <row r="278" spans="1:42" s="35" customFormat="1" ht="40.15" customHeight="1" x14ac:dyDescent="0.25">
      <c r="A278" s="79">
        <f t="shared" si="42"/>
        <v>276</v>
      </c>
      <c r="B278" s="27" t="s">
        <v>357</v>
      </c>
      <c r="C278" s="60" t="s">
        <v>45</v>
      </c>
      <c r="D278" s="63" t="s">
        <v>104</v>
      </c>
      <c r="E278" s="12"/>
      <c r="F278" s="37"/>
      <c r="G278" s="36"/>
      <c r="H278" s="18"/>
      <c r="I278" s="36"/>
      <c r="J278" s="24"/>
      <c r="K278" s="36"/>
      <c r="L278" s="36"/>
      <c r="M278" s="18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7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</row>
    <row r="279" spans="1:42" s="35" customFormat="1" ht="40.15" customHeight="1" x14ac:dyDescent="0.25">
      <c r="A279" s="79">
        <f t="shared" si="42"/>
        <v>277</v>
      </c>
      <c r="B279" s="29" t="s">
        <v>358</v>
      </c>
      <c r="C279" s="60" t="s">
        <v>45</v>
      </c>
      <c r="D279" s="70" t="s">
        <v>174</v>
      </c>
      <c r="E279" s="12"/>
      <c r="F279" s="41"/>
      <c r="G279" s="36"/>
      <c r="H279" s="16"/>
      <c r="I279" s="36"/>
      <c r="J279" s="16"/>
      <c r="K279" s="36"/>
      <c r="L279" s="36"/>
      <c r="M279" s="16"/>
      <c r="N279" s="36"/>
      <c r="O279" s="36"/>
      <c r="P279" s="36"/>
      <c r="Q279" s="36"/>
      <c r="R279" s="36"/>
      <c r="S279" s="36"/>
      <c r="T279" s="36"/>
      <c r="U279" s="36"/>
      <c r="V279" s="36"/>
      <c r="W279" s="37"/>
      <c r="X279" s="36"/>
      <c r="Y279" s="36"/>
      <c r="Z279" s="37"/>
      <c r="AA279" s="36"/>
      <c r="AB279" s="36"/>
      <c r="AC279" s="36"/>
      <c r="AD279" s="36"/>
      <c r="AE279" s="36"/>
      <c r="AF279" s="37"/>
      <c r="AG279" s="36"/>
      <c r="AH279" s="36"/>
      <c r="AI279" s="36"/>
      <c r="AJ279" s="36"/>
      <c r="AK279" s="36"/>
      <c r="AL279" s="37"/>
      <c r="AM279" s="37"/>
      <c r="AN279" s="36"/>
      <c r="AO279" s="36"/>
      <c r="AP279" s="36"/>
    </row>
    <row r="280" spans="1:42" s="85" customFormat="1" ht="40.15" customHeight="1" x14ac:dyDescent="0.25">
      <c r="A280" s="79">
        <f t="shared" si="42"/>
        <v>278</v>
      </c>
      <c r="B280" s="27" t="s">
        <v>359</v>
      </c>
      <c r="C280" s="60" t="s">
        <v>45</v>
      </c>
      <c r="D280" s="63" t="s">
        <v>360</v>
      </c>
      <c r="E280" s="12"/>
      <c r="F280" s="41"/>
      <c r="G280" s="36"/>
      <c r="H280" s="16"/>
      <c r="I280" s="36"/>
      <c r="J280" s="16"/>
      <c r="K280" s="36"/>
      <c r="L280" s="36"/>
      <c r="M280" s="16"/>
      <c r="N280" s="36"/>
      <c r="O280" s="36"/>
      <c r="P280" s="36"/>
      <c r="Q280" s="36"/>
      <c r="R280" s="36"/>
      <c r="S280" s="36"/>
      <c r="T280" s="36"/>
      <c r="U280" s="36"/>
      <c r="V280" s="36"/>
      <c r="W280" s="37"/>
      <c r="X280" s="36"/>
      <c r="Y280" s="36"/>
      <c r="Z280" s="36"/>
      <c r="AA280" s="36"/>
      <c r="AB280" s="36"/>
      <c r="AC280" s="36"/>
      <c r="AD280" s="36"/>
      <c r="AE280" s="36"/>
      <c r="AF280" s="37"/>
      <c r="AG280" s="36"/>
      <c r="AH280" s="36"/>
      <c r="AI280" s="36"/>
      <c r="AJ280" s="36"/>
      <c r="AK280" s="36"/>
      <c r="AL280" s="37"/>
      <c r="AM280" s="37"/>
      <c r="AN280" s="36"/>
      <c r="AO280" s="36"/>
      <c r="AP280" s="36"/>
    </row>
    <row r="281" spans="1:42" s="85" customFormat="1" ht="40.15" customHeight="1" x14ac:dyDescent="0.25">
      <c r="A281" s="79">
        <f t="shared" si="42"/>
        <v>279</v>
      </c>
      <c r="B281" s="27" t="s">
        <v>361</v>
      </c>
      <c r="C281" s="60" t="s">
        <v>45</v>
      </c>
      <c r="D281" s="63" t="s">
        <v>362</v>
      </c>
      <c r="E281" s="12"/>
      <c r="F281" s="41"/>
      <c r="G281" s="36"/>
      <c r="H281" s="16"/>
      <c r="I281" s="36"/>
      <c r="J281" s="16"/>
      <c r="K281" s="36"/>
      <c r="L281" s="36"/>
      <c r="M281" s="1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</row>
    <row r="282" spans="1:42" s="85" customFormat="1" ht="40.15" customHeight="1" x14ac:dyDescent="0.25">
      <c r="A282" s="79">
        <f t="shared" si="42"/>
        <v>280</v>
      </c>
      <c r="B282" s="27" t="s">
        <v>363</v>
      </c>
      <c r="C282" s="60" t="s">
        <v>45</v>
      </c>
      <c r="D282" s="63" t="s">
        <v>76</v>
      </c>
      <c r="E282" s="12"/>
      <c r="F282" s="41"/>
      <c r="G282" s="36"/>
      <c r="H282" s="18"/>
      <c r="I282" s="36"/>
      <c r="J282" s="18"/>
      <c r="K282" s="36"/>
      <c r="L282" s="36"/>
      <c r="M282" s="18"/>
      <c r="N282" s="36"/>
      <c r="O282" s="36"/>
      <c r="P282" s="36"/>
      <c r="Q282" s="36"/>
      <c r="R282" s="36"/>
      <c r="S282" s="36"/>
      <c r="T282" s="36"/>
      <c r="U282" s="37"/>
      <c r="V282" s="36"/>
      <c r="W282" s="36"/>
      <c r="X282" s="1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</row>
    <row r="283" spans="1:42" s="85" customFormat="1" ht="40.15" customHeight="1" x14ac:dyDescent="0.25">
      <c r="A283" s="79">
        <f t="shared" si="42"/>
        <v>281</v>
      </c>
      <c r="B283" s="27" t="s">
        <v>364</v>
      </c>
      <c r="C283" s="60" t="s">
        <v>45</v>
      </c>
      <c r="D283" s="63" t="s">
        <v>365</v>
      </c>
      <c r="E283" s="16"/>
      <c r="F283" s="36"/>
      <c r="G283" s="37"/>
      <c r="H283" s="16"/>
      <c r="I283" s="36"/>
      <c r="J283" s="16"/>
      <c r="K283" s="36"/>
      <c r="L283" s="36"/>
      <c r="M283" s="1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</row>
    <row r="284" spans="1:42" s="85" customFormat="1" ht="40.15" customHeight="1" x14ac:dyDescent="0.25">
      <c r="A284" s="79">
        <f t="shared" si="42"/>
        <v>282</v>
      </c>
      <c r="B284" s="27" t="s">
        <v>366</v>
      </c>
      <c r="C284" s="60" t="s">
        <v>45</v>
      </c>
      <c r="D284" s="70" t="s">
        <v>367</v>
      </c>
      <c r="E284" s="12"/>
      <c r="F284" s="41"/>
      <c r="G284" s="36"/>
      <c r="H284" s="16"/>
      <c r="I284" s="36"/>
      <c r="J284" s="16"/>
      <c r="K284" s="36"/>
      <c r="L284" s="36"/>
      <c r="M284" s="1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</row>
    <row r="285" spans="1:42" s="85" customFormat="1" ht="40.15" customHeight="1" x14ac:dyDescent="0.25">
      <c r="A285" s="79">
        <f t="shared" si="42"/>
        <v>283</v>
      </c>
      <c r="B285" s="29" t="s">
        <v>368</v>
      </c>
      <c r="C285" s="60" t="s">
        <v>45</v>
      </c>
      <c r="D285" s="70" t="s">
        <v>367</v>
      </c>
      <c r="E285" s="12"/>
      <c r="F285" s="41"/>
      <c r="G285" s="36"/>
      <c r="H285" s="16"/>
      <c r="I285" s="36"/>
      <c r="J285" s="16"/>
      <c r="K285" s="36"/>
      <c r="L285" s="36"/>
      <c r="M285" s="16"/>
      <c r="N285" s="36"/>
      <c r="O285" s="36"/>
      <c r="P285" s="36"/>
      <c r="Q285" s="36"/>
      <c r="R285" s="36"/>
      <c r="S285" s="36"/>
      <c r="T285" s="1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</row>
    <row r="286" spans="1:42" s="85" customFormat="1" ht="40.15" customHeight="1" x14ac:dyDescent="0.25">
      <c r="A286" s="79">
        <f t="shared" si="42"/>
        <v>284</v>
      </c>
      <c r="B286" s="27" t="s">
        <v>369</v>
      </c>
      <c r="C286" s="60" t="s">
        <v>45</v>
      </c>
      <c r="D286" s="63" t="s">
        <v>370</v>
      </c>
      <c r="E286" s="12"/>
      <c r="F286" s="44"/>
      <c r="G286" s="37"/>
      <c r="H286" s="16"/>
      <c r="I286" s="36"/>
      <c r="J286" s="16"/>
      <c r="K286" s="36"/>
      <c r="L286" s="36"/>
      <c r="M286" s="1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7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</row>
    <row r="287" spans="1:42" s="85" customFormat="1" ht="40.15" customHeight="1" x14ac:dyDescent="0.25">
      <c r="A287" s="79">
        <f t="shared" si="42"/>
        <v>285</v>
      </c>
      <c r="B287" s="27" t="s">
        <v>371</v>
      </c>
      <c r="C287" s="60" t="s">
        <v>45</v>
      </c>
      <c r="D287" s="63" t="s">
        <v>370</v>
      </c>
      <c r="E287" s="16"/>
      <c r="F287" s="44"/>
      <c r="G287" s="36"/>
      <c r="H287" s="16"/>
      <c r="I287" s="36"/>
      <c r="J287" s="16"/>
      <c r="K287" s="36"/>
      <c r="L287" s="36"/>
      <c r="M287" s="1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</row>
    <row r="288" spans="1:42" s="85" customFormat="1" ht="40.15" customHeight="1" x14ac:dyDescent="0.25">
      <c r="A288" s="79">
        <f t="shared" si="42"/>
        <v>286</v>
      </c>
      <c r="B288" s="27" t="s">
        <v>372</v>
      </c>
      <c r="C288" s="60" t="s">
        <v>45</v>
      </c>
      <c r="D288" s="63" t="s">
        <v>370</v>
      </c>
      <c r="E288" s="12"/>
      <c r="F288" s="41"/>
      <c r="G288" s="37"/>
      <c r="H288" s="16"/>
      <c r="I288" s="36"/>
      <c r="J288" s="16"/>
      <c r="K288" s="36"/>
      <c r="L288" s="36"/>
      <c r="M288" s="1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</row>
    <row r="289" spans="1:42" s="85" customFormat="1" ht="40.15" customHeight="1" x14ac:dyDescent="0.25">
      <c r="A289" s="79">
        <f t="shared" si="42"/>
        <v>287</v>
      </c>
      <c r="B289" s="27" t="s">
        <v>373</v>
      </c>
      <c r="C289" s="60" t="s">
        <v>45</v>
      </c>
      <c r="D289" s="63" t="s">
        <v>370</v>
      </c>
      <c r="E289" s="12"/>
      <c r="F289" s="41"/>
      <c r="G289" s="37"/>
      <c r="H289" s="16"/>
      <c r="I289" s="36"/>
      <c r="J289" s="16"/>
      <c r="K289" s="36"/>
      <c r="L289" s="36"/>
      <c r="M289" s="1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7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</row>
    <row r="290" spans="1:42" s="85" customFormat="1" ht="40.15" hidden="1" customHeight="1" x14ac:dyDescent="0.25">
      <c r="A290" s="79">
        <f t="shared" si="42"/>
        <v>288</v>
      </c>
      <c r="B290" s="28" t="s">
        <v>374</v>
      </c>
      <c r="C290" s="60" t="s">
        <v>73</v>
      </c>
      <c r="D290" s="62" t="s">
        <v>133</v>
      </c>
      <c r="E290" s="12"/>
      <c r="F290" s="44"/>
      <c r="G290" s="36"/>
      <c r="H290" s="16"/>
      <c r="I290" s="36"/>
      <c r="J290" s="16"/>
      <c r="K290" s="36"/>
      <c r="L290" s="36"/>
      <c r="M290" s="1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</row>
    <row r="291" spans="1:42" s="85" customFormat="1" ht="40.15" customHeight="1" x14ac:dyDescent="0.25">
      <c r="A291" s="79">
        <f t="shared" si="42"/>
        <v>289</v>
      </c>
      <c r="B291" s="81" t="s">
        <v>375</v>
      </c>
      <c r="C291" s="59" t="s">
        <v>45</v>
      </c>
      <c r="D291" s="63" t="s">
        <v>86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84"/>
    </row>
    <row r="292" spans="1:42" s="85" customFormat="1" ht="40.15" customHeight="1" x14ac:dyDescent="0.25">
      <c r="A292" s="79">
        <f t="shared" si="42"/>
        <v>290</v>
      </c>
      <c r="B292" s="39" t="s">
        <v>376</v>
      </c>
      <c r="C292" s="61" t="s">
        <v>45</v>
      </c>
      <c r="D292" s="69"/>
      <c r="E292" s="12"/>
      <c r="F292" s="41"/>
      <c r="G292" s="38"/>
      <c r="H292" s="16"/>
      <c r="I292" s="36"/>
      <c r="J292" s="16"/>
      <c r="K292" s="36"/>
      <c r="L292" s="36"/>
      <c r="M292" s="1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</row>
    <row r="293" spans="1:42" s="85" customFormat="1" ht="40.15" customHeight="1" x14ac:dyDescent="0.25">
      <c r="A293" s="79">
        <f t="shared" si="42"/>
        <v>291</v>
      </c>
      <c r="B293" s="27" t="s">
        <v>377</v>
      </c>
      <c r="C293" s="60" t="s">
        <v>45</v>
      </c>
      <c r="D293" s="63" t="s">
        <v>58</v>
      </c>
      <c r="E293" s="12"/>
      <c r="F293" s="41"/>
      <c r="G293" s="36"/>
      <c r="H293" s="16"/>
      <c r="I293" s="36"/>
      <c r="J293" s="16"/>
      <c r="K293" s="36"/>
      <c r="L293" s="36"/>
      <c r="M293" s="16"/>
      <c r="N293" s="36"/>
      <c r="O293" s="36"/>
      <c r="P293" s="36"/>
      <c r="Q293" s="36"/>
      <c r="R293" s="36"/>
      <c r="S293" s="36"/>
      <c r="T293" s="36"/>
      <c r="U293" s="37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</row>
    <row r="294" spans="1:42" s="85" customFormat="1" ht="40.15" customHeight="1" x14ac:dyDescent="0.25">
      <c r="A294" s="79">
        <f t="shared" si="42"/>
        <v>292</v>
      </c>
      <c r="B294" s="27" t="s">
        <v>378</v>
      </c>
      <c r="C294" s="60" t="s">
        <v>45</v>
      </c>
      <c r="D294" s="63" t="s">
        <v>80</v>
      </c>
      <c r="E294" s="12"/>
      <c r="F294" s="41"/>
      <c r="G294" s="36"/>
      <c r="H294" s="16"/>
      <c r="I294" s="36"/>
      <c r="J294" s="16"/>
      <c r="K294" s="36"/>
      <c r="L294" s="36"/>
      <c r="M294" s="1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7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</row>
    <row r="295" spans="1:42" s="85" customFormat="1" ht="40.15" customHeight="1" x14ac:dyDescent="0.25">
      <c r="A295" s="79">
        <f t="shared" si="42"/>
        <v>293</v>
      </c>
      <c r="B295" s="81" t="s">
        <v>379</v>
      </c>
      <c r="C295" s="59" t="s">
        <v>45</v>
      </c>
      <c r="D295" s="63" t="s">
        <v>380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84"/>
    </row>
    <row r="296" spans="1:42" s="85" customFormat="1" ht="40.15" customHeight="1" x14ac:dyDescent="0.25">
      <c r="A296" s="79">
        <f t="shared" si="42"/>
        <v>294</v>
      </c>
      <c r="B296" s="27" t="s">
        <v>381</v>
      </c>
      <c r="C296" s="60" t="s">
        <v>45</v>
      </c>
      <c r="D296" s="63" t="s">
        <v>58</v>
      </c>
      <c r="E296" s="12"/>
      <c r="F296" s="41"/>
      <c r="G296" s="36"/>
      <c r="H296" s="16"/>
      <c r="I296" s="36"/>
      <c r="J296" s="16"/>
      <c r="K296" s="36"/>
      <c r="L296" s="36"/>
      <c r="M296" s="1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7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</row>
    <row r="297" spans="1:42" s="85" customFormat="1" ht="40.15" customHeight="1" x14ac:dyDescent="0.25">
      <c r="A297" s="79">
        <f t="shared" si="42"/>
        <v>295</v>
      </c>
      <c r="B297" s="81" t="s">
        <v>382</v>
      </c>
      <c r="C297" s="59" t="s">
        <v>45</v>
      </c>
      <c r="D297" s="63" t="s">
        <v>68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84"/>
    </row>
    <row r="298" spans="1:42" s="85" customFormat="1" ht="40.15" customHeight="1" x14ac:dyDescent="0.25">
      <c r="A298" s="79">
        <f t="shared" si="42"/>
        <v>296</v>
      </c>
      <c r="B298" s="27" t="s">
        <v>383</v>
      </c>
      <c r="C298" s="60" t="s">
        <v>45</v>
      </c>
      <c r="D298" s="63" t="s">
        <v>104</v>
      </c>
      <c r="E298" s="12"/>
      <c r="F298" s="38"/>
      <c r="G298" s="36"/>
      <c r="H298" s="16"/>
      <c r="I298" s="36"/>
      <c r="J298" s="16"/>
      <c r="K298" s="36"/>
      <c r="L298" s="36"/>
      <c r="M298" s="1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</row>
    <row r="299" spans="1:42" s="85" customFormat="1" ht="40.15" customHeight="1" x14ac:dyDescent="0.25">
      <c r="A299" s="79">
        <f t="shared" si="42"/>
        <v>297</v>
      </c>
      <c r="B299" s="27" t="s">
        <v>384</v>
      </c>
      <c r="C299" s="60" t="s">
        <v>45</v>
      </c>
      <c r="D299" s="63" t="s">
        <v>282</v>
      </c>
      <c r="E299" s="12"/>
      <c r="F299" s="41"/>
      <c r="G299" s="36"/>
      <c r="H299" s="16"/>
      <c r="I299" s="36"/>
      <c r="J299" s="16"/>
      <c r="K299" s="36"/>
      <c r="L299" s="36"/>
      <c r="M299" s="1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7"/>
      <c r="AF299" s="36"/>
      <c r="AG299" s="36"/>
      <c r="AH299" s="36"/>
      <c r="AI299" s="36"/>
      <c r="AJ299" s="36"/>
      <c r="AK299" s="36"/>
      <c r="AL299" s="37"/>
      <c r="AM299" s="36"/>
      <c r="AN299" s="36"/>
      <c r="AO299" s="36"/>
      <c r="AP299" s="36"/>
    </row>
    <row r="300" spans="1:42" s="85" customFormat="1" ht="40.15" customHeight="1" x14ac:dyDescent="0.25">
      <c r="A300" s="79">
        <f t="shared" si="42"/>
        <v>298</v>
      </c>
      <c r="B300" s="27" t="s">
        <v>385</v>
      </c>
      <c r="C300" s="59" t="s">
        <v>45</v>
      </c>
      <c r="D300" s="63" t="s">
        <v>282</v>
      </c>
      <c r="E300" s="12"/>
      <c r="F300" s="41"/>
      <c r="G300" s="36"/>
      <c r="H300" s="16"/>
      <c r="I300" s="37"/>
      <c r="J300" s="16"/>
      <c r="K300" s="36"/>
      <c r="L300" s="36"/>
      <c r="M300" s="16"/>
      <c r="N300" s="36"/>
      <c r="O300" s="36"/>
      <c r="P300" s="36"/>
      <c r="Q300" s="36"/>
      <c r="R300" s="36"/>
      <c r="S300" s="36"/>
      <c r="T300" s="36"/>
      <c r="U300" s="37"/>
      <c r="V300" s="38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</row>
    <row r="301" spans="1:42" s="85" customFormat="1" ht="40.15" customHeight="1" x14ac:dyDescent="0.25">
      <c r="A301" s="79">
        <f t="shared" si="42"/>
        <v>299</v>
      </c>
      <c r="B301" s="27" t="s">
        <v>386</v>
      </c>
      <c r="C301" s="59" t="s">
        <v>45</v>
      </c>
      <c r="D301" s="63" t="s">
        <v>282</v>
      </c>
      <c r="E301" s="12"/>
      <c r="F301" s="41"/>
      <c r="G301" s="37"/>
      <c r="H301" s="16"/>
      <c r="I301" s="36"/>
      <c r="J301" s="16"/>
      <c r="K301" s="36"/>
      <c r="L301" s="36"/>
      <c r="M301" s="13"/>
      <c r="N301" s="36"/>
      <c r="O301" s="36"/>
      <c r="P301" s="36"/>
      <c r="Q301" s="36"/>
      <c r="R301" s="36"/>
      <c r="S301" s="36"/>
      <c r="T301" s="36"/>
      <c r="U301" s="38"/>
      <c r="V301" s="36"/>
      <c r="W301" s="37"/>
      <c r="X301" s="36"/>
      <c r="Y301" s="36"/>
      <c r="Z301" s="36"/>
      <c r="AA301" s="36"/>
      <c r="AB301" s="36"/>
      <c r="AC301" s="36"/>
      <c r="AD301" s="37"/>
      <c r="AE301" s="38"/>
      <c r="AF301" s="36"/>
      <c r="AG301" s="36"/>
      <c r="AH301" s="36"/>
      <c r="AI301" s="36"/>
      <c r="AJ301" s="36"/>
      <c r="AK301" s="36"/>
      <c r="AL301" s="37"/>
      <c r="AM301" s="36"/>
      <c r="AN301" s="36"/>
      <c r="AO301" s="36"/>
      <c r="AP301" s="36"/>
    </row>
    <row r="302" spans="1:42" s="85" customFormat="1" ht="40.15" customHeight="1" x14ac:dyDescent="0.25">
      <c r="A302" s="79">
        <f t="shared" si="42"/>
        <v>300</v>
      </c>
      <c r="B302" s="43" t="s">
        <v>387</v>
      </c>
      <c r="C302" s="59" t="s">
        <v>45</v>
      </c>
      <c r="D302" s="63" t="s">
        <v>282</v>
      </c>
      <c r="E302" s="12"/>
      <c r="F302" s="36"/>
      <c r="G302" s="36"/>
      <c r="H302" s="16"/>
      <c r="I302" s="36"/>
      <c r="J302" s="16"/>
      <c r="K302" s="36"/>
      <c r="L302" s="36"/>
      <c r="M302" s="13"/>
      <c r="N302" s="36"/>
      <c r="O302" s="37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</row>
    <row r="303" spans="1:42" s="85" customFormat="1" ht="40.15" customHeight="1" x14ac:dyDescent="0.25">
      <c r="A303" s="79">
        <f t="shared" si="42"/>
        <v>301</v>
      </c>
      <c r="B303" s="27" t="s">
        <v>388</v>
      </c>
      <c r="C303" s="59" t="s">
        <v>45</v>
      </c>
      <c r="D303" s="63" t="s">
        <v>282</v>
      </c>
      <c r="E303" s="12"/>
      <c r="F303" s="41"/>
      <c r="G303" s="37"/>
      <c r="H303" s="16"/>
      <c r="I303" s="36"/>
      <c r="J303" s="16"/>
      <c r="K303" s="36"/>
      <c r="L303" s="36"/>
      <c r="M303" s="13"/>
      <c r="N303" s="36"/>
      <c r="O303" s="37"/>
      <c r="P303" s="36"/>
      <c r="Q303" s="36"/>
      <c r="R303" s="36"/>
      <c r="S303" s="36"/>
      <c r="T303" s="36"/>
      <c r="U303" s="37"/>
      <c r="V303" s="36"/>
      <c r="W303" s="36"/>
      <c r="X303" s="37"/>
      <c r="Y303" s="36"/>
      <c r="Z303" s="36"/>
      <c r="AA303" s="36"/>
      <c r="AB303" s="36"/>
      <c r="AC303" s="36"/>
      <c r="AD303" s="36"/>
      <c r="AE303" s="37"/>
      <c r="AF303" s="36"/>
      <c r="AG303" s="36"/>
      <c r="AH303" s="36"/>
      <c r="AI303" s="36"/>
      <c r="AJ303" s="36"/>
      <c r="AK303" s="36"/>
      <c r="AL303" s="36"/>
      <c r="AM303" s="36"/>
      <c r="AN303" s="36"/>
      <c r="AO303" s="37"/>
      <c r="AP303" s="36"/>
    </row>
    <row r="304" spans="1:42" s="88" customFormat="1" ht="40.15" customHeight="1" x14ac:dyDescent="0.25">
      <c r="A304" s="79">
        <f t="shared" si="42"/>
        <v>302</v>
      </c>
      <c r="B304" s="28" t="s">
        <v>389</v>
      </c>
      <c r="C304" s="60" t="s">
        <v>45</v>
      </c>
      <c r="D304" s="62" t="s">
        <v>282</v>
      </c>
      <c r="E304" s="16"/>
      <c r="F304" s="36"/>
      <c r="G304" s="36"/>
      <c r="H304" s="16"/>
      <c r="I304" s="36"/>
      <c r="J304" s="16"/>
      <c r="K304" s="36"/>
      <c r="L304" s="36"/>
      <c r="M304" s="1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</row>
    <row r="305" spans="1:42" s="85" customFormat="1" ht="40.15" customHeight="1" x14ac:dyDescent="0.25">
      <c r="A305" s="79">
        <f t="shared" si="42"/>
        <v>303</v>
      </c>
      <c r="B305" s="27" t="s">
        <v>390</v>
      </c>
      <c r="C305" s="59" t="s">
        <v>45</v>
      </c>
      <c r="D305" s="63" t="s">
        <v>391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36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36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36"/>
    </row>
    <row r="306" spans="1:42" s="85" customFormat="1" ht="40.15" hidden="1" customHeight="1" x14ac:dyDescent="0.25">
      <c r="A306" s="79">
        <f t="shared" si="42"/>
        <v>304</v>
      </c>
      <c r="B306" s="28" t="s">
        <v>392</v>
      </c>
      <c r="C306" s="59" t="s">
        <v>166</v>
      </c>
      <c r="D306" s="62" t="s">
        <v>282</v>
      </c>
      <c r="E306" s="12"/>
      <c r="F306" s="41"/>
      <c r="G306" s="36"/>
      <c r="H306" s="16"/>
      <c r="I306" s="36"/>
      <c r="J306" s="16"/>
      <c r="K306" s="36"/>
      <c r="L306" s="36"/>
      <c r="M306" s="1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</row>
    <row r="307" spans="1:42" s="85" customFormat="1" ht="40.15" customHeight="1" x14ac:dyDescent="0.25">
      <c r="A307" s="79">
        <f t="shared" si="42"/>
        <v>305</v>
      </c>
      <c r="B307" s="28" t="s">
        <v>393</v>
      </c>
      <c r="C307" s="59" t="s">
        <v>45</v>
      </c>
      <c r="D307" s="62" t="s">
        <v>282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3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36"/>
      <c r="AC307" s="16"/>
      <c r="AD307" s="16"/>
      <c r="AE307" s="13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36"/>
    </row>
    <row r="308" spans="1:42" s="88" customFormat="1" ht="40.15" hidden="1" customHeight="1" x14ac:dyDescent="0.25">
      <c r="A308" s="79">
        <f t="shared" si="42"/>
        <v>306</v>
      </c>
      <c r="B308" s="28" t="s">
        <v>394</v>
      </c>
      <c r="C308" s="60" t="s">
        <v>47</v>
      </c>
      <c r="D308" s="62" t="s">
        <v>333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3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3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36"/>
    </row>
    <row r="309" spans="1:42" s="85" customFormat="1" ht="40.15" customHeight="1" x14ac:dyDescent="0.25">
      <c r="A309" s="79">
        <f t="shared" si="42"/>
        <v>307</v>
      </c>
      <c r="B309" s="27" t="s">
        <v>395</v>
      </c>
      <c r="C309" s="59" t="s">
        <v>45</v>
      </c>
      <c r="D309" s="63" t="s">
        <v>143</v>
      </c>
      <c r="E309" s="12"/>
      <c r="F309" s="37"/>
      <c r="G309" s="36"/>
      <c r="H309" s="16"/>
      <c r="I309" s="36"/>
      <c r="J309" s="1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7"/>
      <c r="X309" s="36"/>
      <c r="Y309" s="36"/>
      <c r="Z309" s="37"/>
      <c r="AA309" s="36"/>
      <c r="AB309" s="36"/>
      <c r="AC309" s="36"/>
      <c r="AD309" s="36"/>
      <c r="AE309" s="36"/>
      <c r="AF309" s="37"/>
      <c r="AG309" s="36"/>
      <c r="AH309" s="36"/>
      <c r="AI309" s="36"/>
      <c r="AJ309" s="36"/>
      <c r="AK309" s="36"/>
      <c r="AL309" s="36"/>
      <c r="AM309" s="36"/>
      <c r="AN309" s="36"/>
      <c r="AO309" s="37"/>
      <c r="AP309" s="36"/>
    </row>
    <row r="310" spans="1:42" s="85" customFormat="1" ht="40.15" hidden="1" customHeight="1" x14ac:dyDescent="0.25">
      <c r="A310" s="79">
        <f t="shared" si="42"/>
        <v>308</v>
      </c>
      <c r="B310" s="28" t="s">
        <v>396</v>
      </c>
      <c r="C310" s="60" t="s">
        <v>397</v>
      </c>
      <c r="D310" s="62" t="s">
        <v>126</v>
      </c>
      <c r="E310" s="16"/>
      <c r="F310" s="36"/>
      <c r="G310" s="36"/>
      <c r="H310" s="18"/>
      <c r="I310" s="36"/>
      <c r="J310" s="18"/>
      <c r="K310" s="36"/>
      <c r="L310" s="36"/>
      <c r="M310" s="18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</row>
    <row r="311" spans="1:42" s="85" customFormat="1" ht="40.15" customHeight="1" x14ac:dyDescent="0.25">
      <c r="A311" s="79">
        <f t="shared" si="42"/>
        <v>309</v>
      </c>
      <c r="B311" s="81" t="s">
        <v>398</v>
      </c>
      <c r="C311" s="59" t="s">
        <v>45</v>
      </c>
      <c r="D311" s="63" t="s">
        <v>68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84"/>
    </row>
    <row r="312" spans="1:42" s="85" customFormat="1" ht="40.15" hidden="1" customHeight="1" x14ac:dyDescent="0.25">
      <c r="A312" s="79">
        <f t="shared" si="42"/>
        <v>310</v>
      </c>
      <c r="B312" s="27" t="s">
        <v>399</v>
      </c>
      <c r="C312" s="59" t="s">
        <v>57</v>
      </c>
      <c r="D312" s="63" t="s">
        <v>400</v>
      </c>
      <c r="E312" s="12"/>
      <c r="F312" s="41"/>
      <c r="G312" s="36"/>
      <c r="H312" s="18"/>
      <c r="I312" s="36"/>
      <c r="J312" s="18"/>
      <c r="K312" s="36"/>
      <c r="L312" s="36"/>
      <c r="M312" s="18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8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7"/>
      <c r="AP312" s="36"/>
    </row>
    <row r="313" spans="1:42" s="85" customFormat="1" ht="40.15" customHeight="1" x14ac:dyDescent="0.25">
      <c r="A313" s="79">
        <f t="shared" si="42"/>
        <v>311</v>
      </c>
      <c r="B313" s="27" t="s">
        <v>401</v>
      </c>
      <c r="C313" s="59" t="s">
        <v>45</v>
      </c>
      <c r="D313" s="62" t="s">
        <v>53</v>
      </c>
      <c r="E313" s="12"/>
      <c r="F313" s="41"/>
      <c r="G313" s="36"/>
      <c r="H313" s="36"/>
      <c r="I313" s="36"/>
      <c r="J313" s="16"/>
      <c r="K313" s="36"/>
      <c r="L313" s="36"/>
      <c r="M313" s="16"/>
      <c r="N313" s="36"/>
      <c r="O313" s="36"/>
      <c r="P313" s="36"/>
      <c r="Q313" s="36"/>
      <c r="R313" s="36"/>
      <c r="S313" s="36"/>
      <c r="T313" s="36"/>
      <c r="U313" s="36"/>
      <c r="V313" s="36"/>
      <c r="W313" s="37"/>
      <c r="X313" s="36"/>
      <c r="Y313" s="37"/>
      <c r="Z313" s="36"/>
      <c r="AA313" s="36"/>
      <c r="AB313" s="36"/>
      <c r="AC313" s="37"/>
      <c r="AD313" s="37"/>
      <c r="AE313" s="36"/>
      <c r="AF313" s="37"/>
      <c r="AG313" s="36"/>
      <c r="AH313" s="36"/>
      <c r="AI313" s="36"/>
      <c r="AJ313" s="36"/>
      <c r="AK313" s="36"/>
      <c r="AL313" s="37"/>
      <c r="AM313" s="36"/>
      <c r="AN313" s="36"/>
      <c r="AO313" s="36"/>
      <c r="AP313" s="36"/>
    </row>
    <row r="314" spans="1:42" s="85" customFormat="1" ht="40.15" customHeight="1" x14ac:dyDescent="0.25">
      <c r="A314" s="79">
        <f t="shared" si="42"/>
        <v>312</v>
      </c>
      <c r="B314" s="27" t="s">
        <v>402</v>
      </c>
      <c r="C314" s="59" t="s">
        <v>45</v>
      </c>
      <c r="D314" s="63" t="s">
        <v>342</v>
      </c>
      <c r="E314" s="12"/>
      <c r="F314" s="41"/>
      <c r="G314" s="36"/>
      <c r="H314" s="16"/>
      <c r="I314" s="36"/>
      <c r="J314" s="16"/>
      <c r="K314" s="36"/>
      <c r="L314" s="36"/>
      <c r="M314" s="1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</row>
    <row r="315" spans="1:42" s="85" customFormat="1" ht="40.15" customHeight="1" x14ac:dyDescent="0.25">
      <c r="A315" s="79">
        <f t="shared" si="42"/>
        <v>313</v>
      </c>
      <c r="B315" s="27" t="s">
        <v>403</v>
      </c>
      <c r="C315" s="59" t="s">
        <v>45</v>
      </c>
      <c r="D315" s="63" t="s">
        <v>342</v>
      </c>
      <c r="E315" s="12"/>
      <c r="F315" s="41"/>
      <c r="G315" s="36"/>
      <c r="H315" s="19"/>
      <c r="I315" s="36"/>
      <c r="J315" s="19"/>
      <c r="K315" s="36"/>
      <c r="L315" s="36"/>
      <c r="M315" s="19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</row>
    <row r="316" spans="1:42" s="85" customFormat="1" ht="40.15" customHeight="1" x14ac:dyDescent="0.25">
      <c r="A316" s="79">
        <f t="shared" si="42"/>
        <v>314</v>
      </c>
      <c r="B316" s="81" t="s">
        <v>404</v>
      </c>
      <c r="C316" s="59" t="s">
        <v>45</v>
      </c>
      <c r="D316" s="63" t="s">
        <v>405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84"/>
    </row>
    <row r="317" spans="1:42" s="85" customFormat="1" ht="40.15" customHeight="1" x14ac:dyDescent="0.25">
      <c r="A317" s="79">
        <f t="shared" si="42"/>
        <v>315</v>
      </c>
      <c r="B317" s="27" t="s">
        <v>406</v>
      </c>
      <c r="C317" s="59" t="s">
        <v>45</v>
      </c>
      <c r="D317" s="63" t="s">
        <v>58</v>
      </c>
      <c r="E317" s="12"/>
      <c r="F317" s="41"/>
      <c r="G317" s="36"/>
      <c r="H317" s="16"/>
      <c r="I317" s="36"/>
      <c r="J317" s="16"/>
      <c r="K317" s="36"/>
      <c r="L317" s="36"/>
      <c r="M317" s="16"/>
      <c r="N317" s="36"/>
      <c r="O317" s="37"/>
      <c r="P317" s="36"/>
      <c r="Q317" s="36"/>
      <c r="R317" s="36"/>
      <c r="S317" s="36"/>
      <c r="T317" s="36"/>
      <c r="U317" s="37"/>
      <c r="V317" s="36"/>
      <c r="W317" s="36"/>
      <c r="X317" s="36"/>
      <c r="Y317" s="36"/>
      <c r="Z317" s="36"/>
      <c r="AA317" s="36"/>
      <c r="AB317" s="36"/>
      <c r="AC317" s="36"/>
      <c r="AD317" s="37"/>
      <c r="AE317" s="37"/>
      <c r="AF317" s="36"/>
      <c r="AG317" s="36"/>
      <c r="AH317" s="36"/>
      <c r="AI317" s="36"/>
      <c r="AJ317" s="36"/>
      <c r="AK317" s="36"/>
      <c r="AL317" s="37"/>
      <c r="AM317" s="36"/>
      <c r="AN317" s="36"/>
      <c r="AO317" s="36"/>
      <c r="AP317" s="36"/>
    </row>
    <row r="318" spans="1:42" s="85" customFormat="1" ht="40.15" customHeight="1" x14ac:dyDescent="0.25">
      <c r="A318" s="79">
        <f t="shared" si="42"/>
        <v>316</v>
      </c>
      <c r="B318" s="27" t="s">
        <v>407</v>
      </c>
      <c r="C318" s="59" t="s">
        <v>45</v>
      </c>
      <c r="D318" s="63" t="s">
        <v>104</v>
      </c>
      <c r="E318" s="12"/>
      <c r="F318" s="37"/>
      <c r="G318" s="36"/>
      <c r="H318" s="16"/>
      <c r="I318" s="36"/>
      <c r="J318" s="37"/>
      <c r="K318" s="36"/>
      <c r="L318" s="36"/>
      <c r="M318" s="16"/>
      <c r="N318" s="36"/>
      <c r="O318" s="36"/>
      <c r="P318" s="36"/>
      <c r="Q318" s="36"/>
      <c r="R318" s="36"/>
      <c r="S318" s="36"/>
      <c r="T318" s="36"/>
      <c r="U318" s="36"/>
      <c r="V318" s="36"/>
      <c r="W318" s="37"/>
      <c r="X318" s="36"/>
      <c r="Y318" s="36"/>
      <c r="Z318" s="37"/>
      <c r="AA318" s="36"/>
      <c r="AB318" s="36"/>
      <c r="AC318" s="36"/>
      <c r="AD318" s="36"/>
      <c r="AE318" s="36"/>
      <c r="AF318" s="37"/>
      <c r="AG318" s="36"/>
      <c r="AH318" s="36"/>
      <c r="AI318" s="36"/>
      <c r="AJ318" s="36"/>
      <c r="AK318" s="36"/>
      <c r="AL318" s="36"/>
      <c r="AM318" s="36"/>
      <c r="AN318" s="36"/>
      <c r="AO318" s="37"/>
      <c r="AP318" s="36"/>
    </row>
    <row r="319" spans="1:42" s="85" customFormat="1" ht="40.15" customHeight="1" x14ac:dyDescent="0.25">
      <c r="A319" s="79">
        <f t="shared" si="42"/>
        <v>317</v>
      </c>
      <c r="B319" s="28" t="s">
        <v>408</v>
      </c>
      <c r="C319" s="60" t="s">
        <v>45</v>
      </c>
      <c r="D319" s="62"/>
      <c r="E319" s="12"/>
      <c r="F319" s="41"/>
      <c r="G319" s="36"/>
      <c r="H319" s="16"/>
      <c r="I319" s="36"/>
      <c r="J319" s="16"/>
      <c r="K319" s="36"/>
      <c r="L319" s="36"/>
      <c r="M319" s="1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</row>
    <row r="320" spans="1:42" s="85" customFormat="1" ht="40.15" customHeight="1" x14ac:dyDescent="0.25">
      <c r="A320" s="79">
        <f t="shared" si="42"/>
        <v>318</v>
      </c>
      <c r="B320" s="27" t="s">
        <v>409</v>
      </c>
      <c r="C320" s="59" t="s">
        <v>45</v>
      </c>
      <c r="D320" s="62" t="s">
        <v>53</v>
      </c>
      <c r="E320" s="16"/>
      <c r="F320" s="36"/>
      <c r="G320" s="36"/>
      <c r="H320" s="16"/>
      <c r="I320" s="36"/>
      <c r="J320" s="16"/>
      <c r="K320" s="36"/>
      <c r="L320" s="36"/>
      <c r="M320" s="1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</row>
    <row r="321" spans="1:42" s="85" customFormat="1" ht="40.15" hidden="1" customHeight="1" x14ac:dyDescent="0.25">
      <c r="A321" s="79">
        <f t="shared" si="42"/>
        <v>319</v>
      </c>
      <c r="B321" s="27" t="s">
        <v>410</v>
      </c>
      <c r="C321" s="59" t="s">
        <v>47</v>
      </c>
      <c r="D321" s="63" t="s">
        <v>411</v>
      </c>
      <c r="E321" s="12"/>
      <c r="F321" s="41"/>
      <c r="G321" s="36"/>
      <c r="H321" s="16"/>
      <c r="I321" s="36"/>
      <c r="J321" s="16"/>
      <c r="K321" s="36"/>
      <c r="L321" s="36"/>
      <c r="M321" s="16"/>
      <c r="N321" s="36"/>
      <c r="O321" s="36"/>
      <c r="P321" s="36"/>
      <c r="Q321" s="36"/>
      <c r="R321" s="36"/>
      <c r="S321" s="36"/>
      <c r="T321" s="36"/>
      <c r="U321" s="1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8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</row>
    <row r="322" spans="1:42" s="85" customFormat="1" ht="40.15" hidden="1" customHeight="1" x14ac:dyDescent="0.25">
      <c r="A322" s="79">
        <f t="shared" si="42"/>
        <v>320</v>
      </c>
      <c r="B322" s="28" t="s">
        <v>412</v>
      </c>
      <c r="C322" s="60" t="s">
        <v>106</v>
      </c>
      <c r="D322" s="62" t="s">
        <v>413</v>
      </c>
      <c r="E322" s="12"/>
      <c r="F322" s="36"/>
      <c r="G322" s="36"/>
      <c r="H322" s="16"/>
      <c r="I322" s="36"/>
      <c r="J322" s="16"/>
      <c r="K322" s="36"/>
      <c r="L322" s="36"/>
      <c r="M322" s="1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</row>
    <row r="323" spans="1:42" s="85" customFormat="1" ht="40.15" customHeight="1" x14ac:dyDescent="0.25">
      <c r="A323" s="79">
        <f t="shared" si="42"/>
        <v>321</v>
      </c>
      <c r="B323" s="27" t="s">
        <v>414</v>
      </c>
      <c r="C323" s="59" t="s">
        <v>45</v>
      </c>
      <c r="D323" s="63" t="s">
        <v>62</v>
      </c>
      <c r="E323" s="16"/>
      <c r="F323" s="36"/>
      <c r="G323" s="36"/>
      <c r="H323" s="16"/>
      <c r="I323" s="36"/>
      <c r="J323" s="16"/>
      <c r="K323" s="36"/>
      <c r="L323" s="36"/>
      <c r="M323" s="16"/>
      <c r="N323" s="36"/>
      <c r="O323" s="36"/>
      <c r="P323" s="36"/>
      <c r="Q323" s="36"/>
      <c r="R323" s="36"/>
      <c r="S323" s="37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</row>
    <row r="324" spans="1:42" s="85" customFormat="1" ht="40.15" customHeight="1" x14ac:dyDescent="0.25">
      <c r="A324" s="79">
        <f t="shared" si="42"/>
        <v>322</v>
      </c>
      <c r="B324" s="27" t="s">
        <v>415</v>
      </c>
      <c r="C324" s="59" t="s">
        <v>45</v>
      </c>
      <c r="D324" s="63" t="s">
        <v>416</v>
      </c>
      <c r="E324" s="16"/>
      <c r="F324" s="36"/>
      <c r="G324" s="36"/>
      <c r="H324" s="37"/>
      <c r="I324" s="36"/>
      <c r="J324" s="16"/>
      <c r="K324" s="36"/>
      <c r="L324" s="36"/>
      <c r="M324" s="16"/>
      <c r="N324" s="36"/>
      <c r="O324" s="36"/>
      <c r="P324" s="36"/>
      <c r="Q324" s="36"/>
      <c r="R324" s="36"/>
      <c r="S324" s="36"/>
      <c r="T324" s="36"/>
      <c r="U324" s="36"/>
      <c r="V324" s="37"/>
      <c r="W324" s="36"/>
      <c r="X324" s="36"/>
      <c r="Y324" s="36"/>
      <c r="Z324" s="36"/>
      <c r="AA324" s="36"/>
      <c r="AB324" s="36"/>
      <c r="AC324" s="36"/>
      <c r="AD324" s="37"/>
      <c r="AE324" s="37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</row>
    <row r="325" spans="1:42" s="85" customFormat="1" ht="40.15" customHeight="1" x14ac:dyDescent="0.25">
      <c r="A325" s="79">
        <f t="shared" si="42"/>
        <v>323</v>
      </c>
      <c r="B325" s="27" t="s">
        <v>417</v>
      </c>
      <c r="C325" s="59" t="s">
        <v>45</v>
      </c>
      <c r="D325" s="63" t="s">
        <v>416</v>
      </c>
      <c r="E325" s="16"/>
      <c r="F325" s="36"/>
      <c r="G325" s="36"/>
      <c r="H325" s="37"/>
      <c r="I325" s="36"/>
      <c r="J325" s="16"/>
      <c r="K325" s="36"/>
      <c r="L325" s="36"/>
      <c r="M325" s="16"/>
      <c r="N325" s="36"/>
      <c r="O325" s="36"/>
      <c r="P325" s="36"/>
      <c r="Q325" s="36"/>
      <c r="R325" s="36"/>
      <c r="S325" s="36"/>
      <c r="T325" s="36"/>
      <c r="U325" s="36"/>
      <c r="V325" s="37"/>
      <c r="W325" s="36"/>
      <c r="X325" s="36"/>
      <c r="Y325" s="36"/>
      <c r="Z325" s="36"/>
      <c r="AA325" s="36"/>
      <c r="AB325" s="36"/>
      <c r="AC325" s="36"/>
      <c r="AD325" s="36"/>
      <c r="AE325" s="37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</row>
    <row r="326" spans="1:42" s="85" customFormat="1" ht="40.15" customHeight="1" x14ac:dyDescent="0.25">
      <c r="A326" s="79">
        <f t="shared" si="42"/>
        <v>324</v>
      </c>
      <c r="B326" s="27" t="s">
        <v>418</v>
      </c>
      <c r="C326" s="59" t="s">
        <v>45</v>
      </c>
      <c r="D326" s="63" t="s">
        <v>320</v>
      </c>
      <c r="E326" s="12"/>
      <c r="F326" s="41"/>
      <c r="G326" s="36"/>
      <c r="H326" s="19"/>
      <c r="I326" s="36"/>
      <c r="J326" s="19"/>
      <c r="K326" s="36"/>
      <c r="L326" s="36"/>
      <c r="M326" s="19"/>
      <c r="N326" s="36"/>
      <c r="O326" s="36"/>
      <c r="P326" s="36"/>
      <c r="Q326" s="36"/>
      <c r="R326" s="36"/>
      <c r="S326" s="36"/>
      <c r="T326" s="36"/>
      <c r="U326" s="36"/>
      <c r="V326" s="36"/>
      <c r="W326" s="37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</row>
    <row r="327" spans="1:42" s="85" customFormat="1" ht="40.15" customHeight="1" x14ac:dyDescent="0.25">
      <c r="A327" s="79">
        <f t="shared" si="42"/>
        <v>325</v>
      </c>
      <c r="B327" s="27" t="s">
        <v>419</v>
      </c>
      <c r="C327" s="59" t="s">
        <v>45</v>
      </c>
      <c r="D327" s="63" t="s">
        <v>119</v>
      </c>
      <c r="E327" s="12"/>
      <c r="F327" s="41"/>
      <c r="G327" s="36"/>
      <c r="H327" s="16"/>
      <c r="I327" s="45"/>
      <c r="J327" s="16"/>
      <c r="K327" s="37"/>
      <c r="L327" s="36"/>
      <c r="M327" s="16"/>
      <c r="N327" s="36"/>
      <c r="O327" s="36"/>
      <c r="P327" s="36"/>
      <c r="Q327" s="36"/>
      <c r="R327" s="36"/>
      <c r="S327" s="36"/>
      <c r="T327" s="36"/>
      <c r="U327" s="37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</row>
    <row r="328" spans="1:42" s="85" customFormat="1" ht="40.15" customHeight="1" x14ac:dyDescent="0.25">
      <c r="A328" s="79">
        <f t="shared" si="42"/>
        <v>326</v>
      </c>
      <c r="B328" s="27" t="s">
        <v>420</v>
      </c>
      <c r="C328" s="59" t="s">
        <v>45</v>
      </c>
      <c r="D328" s="63" t="s">
        <v>421</v>
      </c>
      <c r="E328" s="12"/>
      <c r="F328" s="41"/>
      <c r="G328" s="36"/>
      <c r="H328" s="16"/>
      <c r="I328" s="36"/>
      <c r="J328" s="16"/>
      <c r="K328" s="36"/>
      <c r="L328" s="36"/>
      <c r="M328" s="16"/>
      <c r="N328" s="36"/>
      <c r="O328" s="36"/>
      <c r="P328" s="36"/>
      <c r="Q328" s="36"/>
      <c r="R328" s="36"/>
      <c r="S328" s="36"/>
      <c r="T328" s="36"/>
      <c r="U328" s="36"/>
      <c r="V328" s="36"/>
      <c r="W328" s="37"/>
      <c r="X328" s="36"/>
      <c r="Y328" s="36"/>
      <c r="Z328" s="37"/>
      <c r="AA328" s="36"/>
      <c r="AB328" s="36"/>
      <c r="AC328" s="36"/>
      <c r="AD328" s="36"/>
      <c r="AE328" s="37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</row>
    <row r="329" spans="1:42" s="85" customFormat="1" ht="40.15" customHeight="1" x14ac:dyDescent="0.25">
      <c r="A329" s="79">
        <f t="shared" si="42"/>
        <v>327</v>
      </c>
      <c r="B329" s="27" t="s">
        <v>422</v>
      </c>
      <c r="C329" s="59" t="s">
        <v>45</v>
      </c>
      <c r="D329" s="63" t="s">
        <v>416</v>
      </c>
      <c r="E329" s="12"/>
      <c r="F329" s="41"/>
      <c r="G329" s="36"/>
      <c r="H329" s="16"/>
      <c r="I329" s="36"/>
      <c r="J329" s="16"/>
      <c r="K329" s="36"/>
      <c r="L329" s="36"/>
      <c r="M329" s="16"/>
      <c r="N329" s="36"/>
      <c r="O329" s="36"/>
      <c r="P329" s="36"/>
      <c r="Q329" s="36"/>
      <c r="R329" s="36"/>
      <c r="S329" s="16"/>
      <c r="T329" s="36"/>
      <c r="U329" s="36"/>
      <c r="V329" s="36"/>
      <c r="W329" s="37"/>
      <c r="X329" s="36"/>
      <c r="Y329" s="36"/>
      <c r="Z329" s="36"/>
      <c r="AA329" s="36"/>
      <c r="AB329" s="36"/>
      <c r="AC329" s="36"/>
      <c r="AD329" s="36"/>
      <c r="AE329" s="37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</row>
    <row r="330" spans="1:42" s="85" customFormat="1" ht="40.15" customHeight="1" x14ac:dyDescent="0.25">
      <c r="A330" s="79">
        <f t="shared" ref="A330:A337" si="43">A329+1</f>
        <v>328</v>
      </c>
      <c r="B330" s="27" t="s">
        <v>423</v>
      </c>
      <c r="C330" s="59" t="s">
        <v>45</v>
      </c>
      <c r="D330" s="63" t="s">
        <v>104</v>
      </c>
      <c r="E330" s="12"/>
      <c r="F330" s="37"/>
      <c r="G330" s="36"/>
      <c r="H330" s="13"/>
      <c r="I330" s="36"/>
      <c r="J330" s="13"/>
      <c r="K330" s="36"/>
      <c r="L330" s="36"/>
      <c r="M330" s="16"/>
      <c r="N330" s="36"/>
      <c r="O330" s="36"/>
      <c r="P330" s="36"/>
      <c r="Q330" s="37"/>
      <c r="R330" s="36"/>
      <c r="S330" s="36"/>
      <c r="T330" s="36"/>
      <c r="U330" s="36"/>
      <c r="V330" s="36"/>
      <c r="W330" s="36"/>
      <c r="X330" s="36"/>
      <c r="Y330" s="36"/>
      <c r="Z330" s="37"/>
      <c r="AA330" s="36"/>
      <c r="AB330" s="36"/>
      <c r="AC330" s="36"/>
      <c r="AD330" s="36"/>
      <c r="AE330" s="37"/>
      <c r="AF330" s="37"/>
      <c r="AG330" s="36"/>
      <c r="AH330" s="36"/>
      <c r="AI330" s="36"/>
      <c r="AJ330" s="36"/>
      <c r="AK330" s="36"/>
      <c r="AL330" s="36"/>
      <c r="AM330" s="36"/>
      <c r="AN330" s="36"/>
      <c r="AO330" s="37"/>
      <c r="AP330" s="36"/>
    </row>
    <row r="331" spans="1:42" s="88" customFormat="1" ht="40.15" customHeight="1" x14ac:dyDescent="0.25">
      <c r="A331" s="79">
        <f t="shared" si="43"/>
        <v>329</v>
      </c>
      <c r="B331" s="27" t="s">
        <v>423</v>
      </c>
      <c r="C331" s="59" t="s">
        <v>45</v>
      </c>
      <c r="D331" s="63" t="s">
        <v>104</v>
      </c>
      <c r="E331" s="16"/>
      <c r="F331" s="36"/>
      <c r="G331" s="36"/>
      <c r="H331" s="16"/>
      <c r="I331" s="36"/>
      <c r="J331" s="16"/>
      <c r="K331" s="36"/>
      <c r="L331" s="36"/>
      <c r="M331" s="1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</row>
    <row r="332" spans="1:42" s="85" customFormat="1" ht="40.15" customHeight="1" x14ac:dyDescent="0.25">
      <c r="A332" s="79">
        <f t="shared" si="43"/>
        <v>330</v>
      </c>
      <c r="B332" s="27" t="s">
        <v>424</v>
      </c>
      <c r="C332" s="59" t="s">
        <v>45</v>
      </c>
      <c r="D332" s="63" t="s">
        <v>425</v>
      </c>
      <c r="E332" s="12"/>
      <c r="F332" s="41"/>
      <c r="G332" s="36"/>
      <c r="H332" s="16"/>
      <c r="I332" s="36"/>
      <c r="J332" s="16"/>
      <c r="K332" s="36"/>
      <c r="L332" s="36"/>
      <c r="M332" s="1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7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</row>
    <row r="333" spans="1:42" s="85" customFormat="1" ht="40.15" customHeight="1" x14ac:dyDescent="0.25">
      <c r="A333" s="79">
        <f t="shared" si="43"/>
        <v>331</v>
      </c>
      <c r="B333" s="27" t="s">
        <v>426</v>
      </c>
      <c r="C333" s="59" t="s">
        <v>45</v>
      </c>
      <c r="D333" s="63"/>
      <c r="E333" s="12"/>
      <c r="F333" s="41"/>
      <c r="G333" s="36"/>
      <c r="H333" s="16"/>
      <c r="I333" s="36"/>
      <c r="J333" s="16"/>
      <c r="K333" s="36"/>
      <c r="L333" s="36"/>
      <c r="M333" s="16"/>
      <c r="N333" s="36"/>
      <c r="O333" s="36"/>
      <c r="P333" s="36"/>
      <c r="Q333" s="36"/>
      <c r="R333" s="36"/>
      <c r="S333" s="36"/>
      <c r="T333" s="36"/>
      <c r="U333" s="36"/>
      <c r="V333" s="36"/>
      <c r="W333" s="37"/>
      <c r="X333" s="36"/>
      <c r="Y333" s="36"/>
      <c r="Z333" s="36"/>
      <c r="AA333" s="36"/>
      <c r="AB333" s="36"/>
      <c r="AC333" s="36"/>
      <c r="AD333" s="36"/>
      <c r="AE333" s="36"/>
      <c r="AF333" s="37"/>
      <c r="AG333" s="36"/>
      <c r="AH333" s="36"/>
      <c r="AI333" s="36"/>
      <c r="AJ333" s="36"/>
      <c r="AK333" s="36"/>
      <c r="AL333" s="37"/>
      <c r="AM333" s="36"/>
      <c r="AN333" s="36"/>
      <c r="AO333" s="36"/>
      <c r="AP333" s="36"/>
    </row>
    <row r="334" spans="1:42" s="85" customFormat="1" ht="40.15" customHeight="1" x14ac:dyDescent="0.25">
      <c r="A334" s="79">
        <f t="shared" si="43"/>
        <v>332</v>
      </c>
      <c r="B334" s="27" t="s">
        <v>427</v>
      </c>
      <c r="C334" s="59" t="s">
        <v>45</v>
      </c>
      <c r="D334" s="63" t="s">
        <v>428</v>
      </c>
      <c r="E334" s="12"/>
      <c r="F334" s="41"/>
      <c r="G334" s="36"/>
      <c r="H334" s="16"/>
      <c r="I334" s="38"/>
      <c r="J334" s="16"/>
      <c r="K334" s="36"/>
      <c r="L334" s="36"/>
      <c r="M334" s="1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</row>
    <row r="335" spans="1:42" s="85" customFormat="1" ht="40.15" customHeight="1" x14ac:dyDescent="0.25">
      <c r="A335" s="79">
        <f t="shared" si="43"/>
        <v>333</v>
      </c>
      <c r="B335" s="27" t="s">
        <v>429</v>
      </c>
      <c r="C335" s="59" t="s">
        <v>45</v>
      </c>
      <c r="D335" s="63" t="s">
        <v>430</v>
      </c>
      <c r="E335" s="12"/>
      <c r="F335" s="41"/>
      <c r="G335" s="36"/>
      <c r="H335" s="16"/>
      <c r="I335" s="36"/>
      <c r="J335" s="16"/>
      <c r="K335" s="36"/>
      <c r="L335" s="36"/>
      <c r="M335" s="16"/>
      <c r="N335" s="36"/>
      <c r="O335" s="36"/>
      <c r="P335" s="36"/>
      <c r="Q335" s="36"/>
      <c r="R335" s="36"/>
      <c r="S335" s="36"/>
      <c r="T335" s="36"/>
      <c r="U335" s="37"/>
      <c r="V335" s="36"/>
      <c r="W335" s="36"/>
      <c r="X335" s="36"/>
      <c r="Y335" s="36"/>
      <c r="Z335" s="36"/>
      <c r="AA335" s="36"/>
      <c r="AB335" s="36"/>
      <c r="AC335" s="36"/>
      <c r="AD335" s="37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</row>
    <row r="336" spans="1:42" s="85" customFormat="1" ht="40.15" customHeight="1" x14ac:dyDescent="0.25">
      <c r="A336" s="79">
        <f t="shared" si="43"/>
        <v>334</v>
      </c>
      <c r="B336" s="27" t="s">
        <v>431</v>
      </c>
      <c r="C336" s="59" t="s">
        <v>45</v>
      </c>
      <c r="D336" s="63" t="s">
        <v>119</v>
      </c>
      <c r="E336" s="12"/>
      <c r="F336" s="41"/>
      <c r="G336" s="36"/>
      <c r="H336" s="16"/>
      <c r="I336" s="36"/>
      <c r="J336" s="16"/>
      <c r="K336" s="37"/>
      <c r="L336" s="36"/>
      <c r="M336" s="1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</row>
    <row r="337" spans="1:42" s="85" customFormat="1" ht="40.15" customHeight="1" x14ac:dyDescent="0.25">
      <c r="A337" s="79">
        <f t="shared" si="43"/>
        <v>335</v>
      </c>
      <c r="B337" s="81" t="s">
        <v>432</v>
      </c>
      <c r="C337" s="59" t="s">
        <v>45</v>
      </c>
      <c r="D337" s="63" t="s">
        <v>433</v>
      </c>
      <c r="E337" s="12"/>
      <c r="F337" s="41"/>
      <c r="G337" s="36"/>
      <c r="H337" s="16"/>
      <c r="I337" s="36"/>
      <c r="J337" s="16"/>
      <c r="K337" s="36"/>
      <c r="L337" s="36"/>
      <c r="M337" s="1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7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7"/>
      <c r="AM337" s="36"/>
      <c r="AN337" s="36"/>
      <c r="AO337" s="36"/>
      <c r="AP337" s="36"/>
    </row>
    <row r="338" spans="1:42" ht="30" customHeight="1" x14ac:dyDescent="0.25">
      <c r="A338" s="79"/>
      <c r="B338" s="46"/>
      <c r="C338" s="66"/>
      <c r="D338" s="73"/>
      <c r="E338" s="47"/>
      <c r="F338" s="48"/>
      <c r="G338" s="48"/>
      <c r="H338" s="47"/>
      <c r="I338" s="48"/>
      <c r="J338" s="47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9"/>
      <c r="AN338" s="48"/>
      <c r="AO338" s="48"/>
      <c r="AP338" s="48"/>
    </row>
    <row r="339" spans="1:42" s="53" customFormat="1" ht="30" customHeight="1" x14ac:dyDescent="0.25">
      <c r="A339" s="79">
        <f t="shared" ref="A339:A341" si="44">A338+1</f>
        <v>1</v>
      </c>
      <c r="B339" s="52" t="s">
        <v>434</v>
      </c>
      <c r="C339" s="67"/>
      <c r="D339" s="74"/>
      <c r="AM339" s="54"/>
    </row>
    <row r="340" spans="1:42" s="53" customFormat="1" ht="30" customHeight="1" x14ac:dyDescent="0.25">
      <c r="A340" s="79">
        <f t="shared" si="44"/>
        <v>2</v>
      </c>
      <c r="B340" s="55"/>
      <c r="C340" s="51"/>
      <c r="D340" s="75"/>
      <c r="AM340" s="54"/>
    </row>
    <row r="341" spans="1:42" s="53" customFormat="1" ht="30" customHeight="1" x14ac:dyDescent="0.25">
      <c r="A341" s="79">
        <f t="shared" si="44"/>
        <v>3</v>
      </c>
      <c r="B341" s="32" t="s">
        <v>435</v>
      </c>
      <c r="C341" s="20"/>
      <c r="D341" s="58"/>
      <c r="AM341" s="54"/>
    </row>
    <row r="342" spans="1:42" s="53" customFormat="1" ht="30" customHeight="1" x14ac:dyDescent="0.25">
      <c r="A342" s="51"/>
      <c r="B342" s="55"/>
      <c r="C342" s="51"/>
      <c r="D342" s="75"/>
      <c r="AM342" s="54"/>
    </row>
    <row r="343" spans="1:42" s="53" customFormat="1" ht="30" customHeight="1" x14ac:dyDescent="0.25">
      <c r="A343" s="51"/>
      <c r="B343" s="56" t="s">
        <v>436</v>
      </c>
      <c r="C343" s="68"/>
      <c r="D343" s="76"/>
      <c r="AM343" s="54"/>
    </row>
    <row r="344" spans="1:42" ht="30" customHeight="1" x14ac:dyDescent="0.25">
      <c r="B344" s="55"/>
      <c r="C344" s="51"/>
      <c r="D344" s="75"/>
      <c r="E344" s="53"/>
      <c r="H344" s="53"/>
      <c r="J344" s="53"/>
      <c r="AM344" s="49"/>
    </row>
    <row r="345" spans="1:42" ht="30" customHeight="1" x14ac:dyDescent="0.25">
      <c r="B345" s="55"/>
      <c r="C345" s="51"/>
      <c r="D345" s="75"/>
      <c r="E345" s="53"/>
      <c r="H345" s="53"/>
      <c r="J345" s="53"/>
      <c r="AM345" s="49"/>
    </row>
    <row r="346" spans="1:42" ht="30" customHeight="1" x14ac:dyDescent="0.25">
      <c r="B346" s="55"/>
      <c r="C346" s="51"/>
      <c r="D346" s="75"/>
      <c r="E346" s="53"/>
      <c r="H346" s="53"/>
      <c r="J346" s="53"/>
      <c r="AM346" s="49"/>
    </row>
    <row r="347" spans="1:42" ht="30" customHeight="1" x14ac:dyDescent="0.25">
      <c r="B347" s="55"/>
      <c r="C347" s="51"/>
      <c r="D347" s="75"/>
      <c r="E347" s="53"/>
      <c r="H347" s="53"/>
      <c r="J347" s="53"/>
      <c r="AM347" s="49"/>
    </row>
    <row r="348" spans="1:42" ht="30" customHeight="1" x14ac:dyDescent="0.25">
      <c r="B348" s="55"/>
      <c r="C348" s="51"/>
      <c r="D348" s="75"/>
      <c r="E348" s="53"/>
      <c r="H348" s="53"/>
      <c r="J348" s="53"/>
      <c r="AM348" s="49"/>
    </row>
    <row r="349" spans="1:42" ht="30" customHeight="1" x14ac:dyDescent="0.25">
      <c r="B349" s="55"/>
      <c r="C349" s="51"/>
      <c r="D349" s="75"/>
      <c r="E349" s="53"/>
      <c r="H349" s="53"/>
      <c r="J349" s="53"/>
      <c r="AM349" s="49"/>
    </row>
    <row r="350" spans="1:42" ht="30" customHeight="1" x14ac:dyDescent="0.25">
      <c r="B350" s="55"/>
      <c r="C350" s="51"/>
      <c r="D350" s="75"/>
      <c r="E350" s="53"/>
      <c r="H350" s="53"/>
      <c r="J350" s="53"/>
      <c r="AM350" s="49"/>
    </row>
    <row r="351" spans="1:42" ht="30" customHeight="1" x14ac:dyDescent="0.25">
      <c r="B351" s="55"/>
      <c r="C351" s="51"/>
      <c r="D351" s="75"/>
      <c r="E351" s="53"/>
      <c r="H351" s="53"/>
      <c r="J351" s="53"/>
      <c r="AM351" s="49"/>
    </row>
    <row r="352" spans="1:42" ht="30" customHeight="1" x14ac:dyDescent="0.25">
      <c r="B352" s="55"/>
      <c r="C352" s="51"/>
      <c r="D352" s="75"/>
      <c r="E352" s="53"/>
      <c r="H352" s="53"/>
      <c r="J352" s="53"/>
      <c r="AM352" s="49"/>
    </row>
    <row r="353" spans="2:39" ht="30" customHeight="1" x14ac:dyDescent="0.25">
      <c r="B353" s="55"/>
      <c r="C353" s="51"/>
      <c r="D353" s="75"/>
      <c r="E353" s="53"/>
      <c r="H353" s="53"/>
      <c r="J353" s="53"/>
      <c r="AM353" s="49"/>
    </row>
    <row r="354" spans="2:39" ht="30" customHeight="1" x14ac:dyDescent="0.25">
      <c r="B354" s="55"/>
      <c r="C354" s="51"/>
      <c r="D354" s="75"/>
      <c r="E354" s="53"/>
      <c r="H354" s="53"/>
      <c r="J354" s="53"/>
      <c r="M354" s="53"/>
      <c r="AM354" s="49"/>
    </row>
    <row r="355" spans="2:39" ht="30" customHeight="1" x14ac:dyDescent="0.25">
      <c r="B355" s="55"/>
      <c r="C355" s="51"/>
      <c r="D355" s="75"/>
      <c r="E355" s="53"/>
      <c r="H355" s="53"/>
      <c r="J355" s="53"/>
      <c r="M355" s="53"/>
      <c r="AM355" s="49"/>
    </row>
    <row r="356" spans="2:39" ht="30" customHeight="1" x14ac:dyDescent="0.25">
      <c r="B356" s="55"/>
      <c r="C356" s="51"/>
      <c r="D356" s="75"/>
      <c r="E356" s="53"/>
      <c r="H356" s="53"/>
      <c r="J356" s="53"/>
      <c r="M356" s="53"/>
      <c r="AM356" s="49"/>
    </row>
    <row r="357" spans="2:39" ht="30" customHeight="1" x14ac:dyDescent="0.25">
      <c r="B357" s="55"/>
      <c r="C357" s="51"/>
      <c r="D357" s="75"/>
      <c r="E357" s="53"/>
      <c r="H357" s="53"/>
      <c r="J357" s="53"/>
      <c r="M357" s="53"/>
      <c r="AM357" s="49"/>
    </row>
    <row r="358" spans="2:39" ht="30" customHeight="1" x14ac:dyDescent="0.25">
      <c r="B358" s="55"/>
      <c r="C358" s="51"/>
      <c r="D358" s="75"/>
      <c r="E358" s="53"/>
      <c r="H358" s="53"/>
      <c r="J358" s="53"/>
      <c r="M358" s="53"/>
      <c r="AM358" s="49"/>
    </row>
    <row r="359" spans="2:39" ht="30" customHeight="1" x14ac:dyDescent="0.25">
      <c r="B359" s="55"/>
      <c r="C359" s="51"/>
      <c r="D359" s="75"/>
      <c r="E359" s="53"/>
      <c r="H359" s="53"/>
      <c r="J359" s="53"/>
      <c r="M359" s="53"/>
      <c r="AM359" s="49"/>
    </row>
    <row r="360" spans="2:39" ht="30" customHeight="1" x14ac:dyDescent="0.25">
      <c r="B360" s="55"/>
      <c r="C360" s="51"/>
      <c r="D360" s="75"/>
      <c r="E360" s="53"/>
      <c r="H360" s="53"/>
      <c r="J360" s="53"/>
      <c r="M360" s="53"/>
      <c r="AM360" s="49"/>
    </row>
    <row r="361" spans="2:39" ht="30" customHeight="1" x14ac:dyDescent="0.25">
      <c r="B361" s="55"/>
      <c r="C361" s="51"/>
      <c r="D361" s="75"/>
      <c r="E361" s="53"/>
      <c r="H361" s="53"/>
      <c r="J361" s="53"/>
      <c r="M361" s="53"/>
      <c r="AM361" s="49"/>
    </row>
    <row r="362" spans="2:39" ht="30" customHeight="1" x14ac:dyDescent="0.25">
      <c r="B362" s="55"/>
      <c r="C362" s="51"/>
      <c r="D362" s="75"/>
      <c r="E362" s="53"/>
      <c r="H362" s="53"/>
      <c r="J362" s="53"/>
      <c r="M362" s="53"/>
      <c r="AM362" s="49"/>
    </row>
    <row r="363" spans="2:39" ht="30" customHeight="1" x14ac:dyDescent="0.25">
      <c r="B363" s="55"/>
      <c r="C363" s="51"/>
      <c r="D363" s="75"/>
      <c r="E363" s="53"/>
      <c r="H363" s="53"/>
      <c r="J363" s="53"/>
      <c r="M363" s="53"/>
      <c r="AM363" s="49"/>
    </row>
    <row r="364" spans="2:39" ht="30" customHeight="1" x14ac:dyDescent="0.25">
      <c r="B364" s="55"/>
      <c r="C364" s="51"/>
      <c r="D364" s="75"/>
      <c r="E364" s="53"/>
      <c r="H364" s="53"/>
      <c r="J364" s="53"/>
      <c r="M364" s="53"/>
      <c r="AM364" s="49"/>
    </row>
    <row r="365" spans="2:39" ht="30" customHeight="1" x14ac:dyDescent="0.25">
      <c r="B365" s="55"/>
      <c r="C365" s="51"/>
      <c r="D365" s="75"/>
      <c r="E365" s="53"/>
      <c r="H365" s="53"/>
      <c r="J365" s="53"/>
      <c r="M365" s="53"/>
      <c r="AM365" s="49"/>
    </row>
    <row r="366" spans="2:39" ht="30" customHeight="1" x14ac:dyDescent="0.25">
      <c r="B366" s="55"/>
      <c r="C366" s="51"/>
      <c r="D366" s="75"/>
      <c r="E366" s="53"/>
      <c r="H366" s="53"/>
      <c r="J366" s="53"/>
      <c r="M366" s="53"/>
      <c r="AM366" s="49"/>
    </row>
    <row r="367" spans="2:39" ht="30" customHeight="1" x14ac:dyDescent="0.25">
      <c r="B367" s="55"/>
      <c r="C367" s="51"/>
      <c r="D367" s="75"/>
      <c r="E367" s="53"/>
      <c r="H367" s="53"/>
      <c r="J367" s="53"/>
      <c r="M367" s="53"/>
      <c r="AM367" s="49"/>
    </row>
    <row r="368" spans="2:39" ht="30" customHeight="1" x14ac:dyDescent="0.25">
      <c r="B368" s="55"/>
      <c r="C368" s="51"/>
      <c r="D368" s="75"/>
      <c r="E368" s="53"/>
      <c r="H368" s="53"/>
      <c r="J368" s="53"/>
      <c r="M368" s="53"/>
      <c r="AM368" s="49"/>
    </row>
    <row r="369" spans="2:39" ht="30" customHeight="1" x14ac:dyDescent="0.25">
      <c r="B369" s="55"/>
      <c r="C369" s="51"/>
      <c r="D369" s="75"/>
      <c r="E369" s="53"/>
      <c r="H369" s="53"/>
      <c r="J369" s="53"/>
      <c r="M369" s="53"/>
      <c r="AM369" s="49"/>
    </row>
    <row r="370" spans="2:39" ht="30" customHeight="1" x14ac:dyDescent="0.25">
      <c r="B370" s="55"/>
      <c r="C370" s="51"/>
      <c r="D370" s="75"/>
      <c r="E370" s="53"/>
      <c r="H370" s="53"/>
      <c r="J370" s="53"/>
      <c r="M370" s="53"/>
      <c r="AM370" s="49"/>
    </row>
    <row r="371" spans="2:39" ht="30" customHeight="1" x14ac:dyDescent="0.25">
      <c r="B371" s="55"/>
      <c r="C371" s="51"/>
      <c r="D371" s="75"/>
      <c r="E371" s="53"/>
      <c r="H371" s="53"/>
      <c r="J371" s="53"/>
      <c r="M371" s="53"/>
      <c r="AM371" s="49"/>
    </row>
    <row r="372" spans="2:39" ht="30" customHeight="1" x14ac:dyDescent="0.25">
      <c r="B372" s="55"/>
      <c r="C372" s="51"/>
      <c r="D372" s="75"/>
      <c r="E372" s="53"/>
      <c r="H372" s="53"/>
      <c r="J372" s="53"/>
      <c r="M372" s="53"/>
      <c r="AM372" s="49"/>
    </row>
    <row r="373" spans="2:39" ht="30" customHeight="1" x14ac:dyDescent="0.25">
      <c r="B373" s="55"/>
      <c r="C373" s="51"/>
      <c r="D373" s="75"/>
      <c r="E373" s="53"/>
      <c r="H373" s="53"/>
      <c r="J373" s="53"/>
      <c r="M373" s="53"/>
      <c r="AM373" s="49"/>
    </row>
    <row r="374" spans="2:39" ht="30" customHeight="1" x14ac:dyDescent="0.25">
      <c r="B374" s="55"/>
      <c r="C374" s="51"/>
      <c r="D374" s="75"/>
      <c r="E374" s="53"/>
      <c r="H374" s="53"/>
      <c r="J374" s="53"/>
      <c r="M374" s="53"/>
      <c r="AM374" s="49"/>
    </row>
    <row r="375" spans="2:39" ht="30" customHeight="1" x14ac:dyDescent="0.25">
      <c r="B375" s="55"/>
      <c r="C375" s="51"/>
      <c r="D375" s="75"/>
      <c r="E375" s="53"/>
      <c r="H375" s="53"/>
      <c r="J375" s="53"/>
      <c r="M375" s="53"/>
      <c r="AM375" s="49"/>
    </row>
    <row r="376" spans="2:39" ht="30" customHeight="1" x14ac:dyDescent="0.25">
      <c r="B376" s="55"/>
      <c r="C376" s="51"/>
      <c r="D376" s="75"/>
      <c r="E376" s="53"/>
      <c r="H376" s="53"/>
      <c r="J376" s="53"/>
      <c r="M376" s="53"/>
      <c r="AM376" s="49"/>
    </row>
    <row r="377" spans="2:39" ht="30" customHeight="1" x14ac:dyDescent="0.25">
      <c r="B377" s="55"/>
      <c r="C377" s="51"/>
      <c r="D377" s="75"/>
      <c r="E377" s="53"/>
      <c r="H377" s="53"/>
      <c r="J377" s="53"/>
      <c r="M377" s="53"/>
      <c r="AM377" s="49"/>
    </row>
    <row r="378" spans="2:39" ht="30" customHeight="1" x14ac:dyDescent="0.25">
      <c r="B378" s="55"/>
      <c r="C378" s="51"/>
      <c r="D378" s="75"/>
      <c r="E378" s="53"/>
      <c r="H378" s="53"/>
      <c r="J378" s="53"/>
      <c r="M378" s="53"/>
      <c r="AM378" s="49"/>
    </row>
    <row r="379" spans="2:39" ht="30" customHeight="1" x14ac:dyDescent="0.25">
      <c r="B379" s="55"/>
      <c r="C379" s="51"/>
      <c r="D379" s="75"/>
      <c r="E379" s="53"/>
      <c r="H379" s="53"/>
      <c r="J379" s="53"/>
      <c r="M379" s="53"/>
      <c r="AM379" s="49"/>
    </row>
    <row r="380" spans="2:39" ht="30" customHeight="1" x14ac:dyDescent="0.25">
      <c r="B380" s="55"/>
      <c r="C380" s="51"/>
      <c r="D380" s="75"/>
      <c r="E380" s="53"/>
      <c r="H380" s="53"/>
      <c r="J380" s="53"/>
      <c r="M380" s="53"/>
      <c r="AM380" s="49"/>
    </row>
    <row r="381" spans="2:39" ht="30" customHeight="1" x14ac:dyDescent="0.25">
      <c r="B381" s="55"/>
      <c r="C381" s="51"/>
      <c r="D381" s="75"/>
      <c r="E381" s="53"/>
      <c r="H381" s="53"/>
      <c r="J381" s="53"/>
      <c r="M381" s="53"/>
      <c r="AM381" s="49"/>
    </row>
    <row r="382" spans="2:39" ht="30" customHeight="1" x14ac:dyDescent="0.25">
      <c r="B382" s="55"/>
      <c r="C382" s="51"/>
      <c r="D382" s="75"/>
      <c r="E382" s="53"/>
      <c r="H382" s="53"/>
      <c r="J382" s="53"/>
      <c r="M382" s="53"/>
      <c r="AM382" s="49"/>
    </row>
    <row r="383" spans="2:39" ht="30" customHeight="1" x14ac:dyDescent="0.25">
      <c r="B383" s="55"/>
      <c r="C383" s="51"/>
      <c r="D383" s="75"/>
      <c r="E383" s="53"/>
      <c r="H383" s="53"/>
      <c r="J383" s="53"/>
      <c r="M383" s="53"/>
      <c r="AM383" s="49"/>
    </row>
    <row r="384" spans="2:39" ht="30" customHeight="1" x14ac:dyDescent="0.25">
      <c r="B384" s="55"/>
      <c r="C384" s="51"/>
      <c r="D384" s="75"/>
      <c r="E384" s="53"/>
      <c r="H384" s="53"/>
      <c r="J384" s="53"/>
      <c r="M384" s="53"/>
      <c r="AM384" s="49"/>
    </row>
    <row r="385" spans="2:39" ht="30" customHeight="1" x14ac:dyDescent="0.25">
      <c r="B385" s="55"/>
      <c r="C385" s="51"/>
      <c r="D385" s="75"/>
      <c r="E385" s="53"/>
      <c r="H385" s="53"/>
      <c r="J385" s="53"/>
      <c r="M385" s="53"/>
      <c r="AM385" s="49"/>
    </row>
    <row r="386" spans="2:39" ht="30" customHeight="1" x14ac:dyDescent="0.25">
      <c r="B386" s="55"/>
      <c r="C386" s="51"/>
      <c r="D386" s="75"/>
      <c r="E386" s="53"/>
      <c r="H386" s="53"/>
      <c r="J386" s="53"/>
      <c r="M386" s="53"/>
      <c r="AM386" s="49"/>
    </row>
    <row r="387" spans="2:39" ht="30" customHeight="1" x14ac:dyDescent="0.25">
      <c r="B387" s="55"/>
      <c r="C387" s="51"/>
      <c r="D387" s="75"/>
      <c r="E387" s="53"/>
      <c r="H387" s="53"/>
      <c r="J387" s="53"/>
      <c r="M387" s="53"/>
      <c r="AM387" s="49"/>
    </row>
    <row r="388" spans="2:39" ht="30" customHeight="1" x14ac:dyDescent="0.25">
      <c r="B388" s="55"/>
      <c r="C388" s="51"/>
      <c r="D388" s="75"/>
      <c r="E388" s="53"/>
      <c r="H388" s="53"/>
      <c r="J388" s="53"/>
      <c r="M388" s="53"/>
      <c r="AM388" s="49"/>
    </row>
    <row r="389" spans="2:39" ht="30" customHeight="1" x14ac:dyDescent="0.25">
      <c r="B389" s="55"/>
      <c r="C389" s="51"/>
      <c r="D389" s="75"/>
      <c r="E389" s="53"/>
      <c r="H389" s="53"/>
      <c r="J389" s="53"/>
      <c r="M389" s="53"/>
      <c r="AM389" s="49"/>
    </row>
    <row r="390" spans="2:39" ht="30" customHeight="1" x14ac:dyDescent="0.25">
      <c r="B390" s="55"/>
      <c r="C390" s="51"/>
      <c r="D390" s="75"/>
      <c r="E390" s="53"/>
      <c r="H390" s="53"/>
      <c r="J390" s="53"/>
      <c r="M390" s="53"/>
      <c r="AM390" s="49"/>
    </row>
    <row r="391" spans="2:39" ht="30" customHeight="1" x14ac:dyDescent="0.25">
      <c r="B391" s="55"/>
      <c r="C391" s="51"/>
      <c r="D391" s="75"/>
      <c r="E391" s="53"/>
      <c r="H391" s="53"/>
      <c r="J391" s="53"/>
      <c r="M391" s="53"/>
      <c r="AM391" s="49"/>
    </row>
    <row r="392" spans="2:39" ht="30" customHeight="1" x14ac:dyDescent="0.25">
      <c r="B392" s="55"/>
      <c r="C392" s="51"/>
      <c r="D392" s="75"/>
      <c r="E392" s="53"/>
      <c r="H392" s="53"/>
      <c r="J392" s="53"/>
      <c r="M392" s="53"/>
      <c r="AM392" s="49"/>
    </row>
    <row r="393" spans="2:39" ht="30" customHeight="1" x14ac:dyDescent="0.25">
      <c r="B393" s="55"/>
      <c r="C393" s="51"/>
      <c r="D393" s="75"/>
      <c r="E393" s="53"/>
      <c r="H393" s="53"/>
      <c r="J393" s="53"/>
      <c r="M393" s="53"/>
      <c r="AM393" s="49"/>
    </row>
    <row r="394" spans="2:39" ht="25.15" customHeight="1" x14ac:dyDescent="0.25">
      <c r="B394" s="55"/>
      <c r="C394" s="51"/>
      <c r="D394" s="75"/>
      <c r="E394" s="53"/>
      <c r="H394" s="53"/>
      <c r="J394" s="53"/>
      <c r="M394" s="53"/>
      <c r="AM394" s="49"/>
    </row>
    <row r="395" spans="2:39" ht="25.15" customHeight="1" x14ac:dyDescent="0.25">
      <c r="B395" s="55"/>
      <c r="C395" s="51"/>
      <c r="D395" s="75"/>
      <c r="E395" s="53"/>
      <c r="H395" s="53"/>
      <c r="J395" s="53"/>
      <c r="M395" s="53"/>
      <c r="AM395" s="49"/>
    </row>
    <row r="396" spans="2:39" ht="25.15" customHeight="1" x14ac:dyDescent="0.25">
      <c r="B396" s="55"/>
      <c r="C396" s="51"/>
      <c r="D396" s="75"/>
      <c r="E396" s="53"/>
      <c r="H396" s="53"/>
      <c r="J396" s="53"/>
      <c r="M396" s="53"/>
      <c r="AM396" s="49"/>
    </row>
    <row r="397" spans="2:39" ht="25.15" customHeight="1" x14ac:dyDescent="0.25">
      <c r="B397" s="55"/>
      <c r="C397" s="51"/>
      <c r="D397" s="75"/>
      <c r="E397" s="53"/>
      <c r="H397" s="53"/>
      <c r="J397" s="53"/>
      <c r="M397" s="53"/>
      <c r="AM397" s="49"/>
    </row>
    <row r="398" spans="2:39" ht="25.15" customHeight="1" x14ac:dyDescent="0.25">
      <c r="B398" s="55"/>
      <c r="C398" s="51"/>
      <c r="D398" s="75"/>
      <c r="E398" s="53"/>
      <c r="H398" s="53"/>
      <c r="J398" s="53"/>
      <c r="M398" s="53"/>
      <c r="AM398" s="49"/>
    </row>
    <row r="399" spans="2:39" ht="25.15" customHeight="1" x14ac:dyDescent="0.25">
      <c r="B399" s="55"/>
      <c r="C399" s="51"/>
      <c r="D399" s="75"/>
      <c r="E399" s="53"/>
      <c r="H399" s="53"/>
      <c r="J399" s="53"/>
      <c r="M399" s="53"/>
      <c r="AM399" s="49"/>
    </row>
    <row r="400" spans="2:39" ht="25.15" customHeight="1" x14ac:dyDescent="0.25">
      <c r="B400" s="55"/>
      <c r="C400" s="51"/>
      <c r="D400" s="75"/>
      <c r="E400" s="53"/>
      <c r="H400" s="53"/>
      <c r="J400" s="53"/>
      <c r="M400" s="53"/>
      <c r="AM400" s="49"/>
    </row>
    <row r="401" spans="2:39" ht="25.15" customHeight="1" x14ac:dyDescent="0.25">
      <c r="B401" s="55"/>
      <c r="C401" s="51"/>
      <c r="D401" s="75"/>
      <c r="E401" s="53"/>
      <c r="H401" s="53"/>
      <c r="J401" s="53"/>
      <c r="M401" s="53"/>
      <c r="AM401" s="49"/>
    </row>
    <row r="402" spans="2:39" ht="25.15" customHeight="1" x14ac:dyDescent="0.25">
      <c r="B402" s="55"/>
      <c r="C402" s="51"/>
      <c r="D402" s="75"/>
      <c r="E402" s="53"/>
      <c r="H402" s="53"/>
      <c r="J402" s="53"/>
      <c r="M402" s="53"/>
      <c r="AM402" s="49"/>
    </row>
    <row r="403" spans="2:39" ht="25.15" customHeight="1" x14ac:dyDescent="0.25">
      <c r="B403" s="55"/>
      <c r="C403" s="51"/>
      <c r="D403" s="75"/>
      <c r="E403" s="53"/>
      <c r="H403" s="53"/>
      <c r="J403" s="53"/>
      <c r="M403" s="53"/>
      <c r="AM403" s="49"/>
    </row>
    <row r="404" spans="2:39" ht="25.15" customHeight="1" x14ac:dyDescent="0.25">
      <c r="B404" s="55"/>
      <c r="C404" s="51"/>
      <c r="D404" s="75"/>
      <c r="E404" s="53"/>
      <c r="H404" s="53"/>
      <c r="J404" s="53"/>
      <c r="M404" s="53"/>
      <c r="AM404" s="49"/>
    </row>
    <row r="405" spans="2:39" ht="25.15" customHeight="1" x14ac:dyDescent="0.25">
      <c r="B405" s="55"/>
      <c r="C405" s="51"/>
      <c r="D405" s="75"/>
      <c r="E405" s="53"/>
      <c r="H405" s="53"/>
      <c r="J405" s="53"/>
      <c r="M405" s="53"/>
      <c r="AM405" s="49"/>
    </row>
    <row r="406" spans="2:39" ht="25.15" customHeight="1" x14ac:dyDescent="0.25">
      <c r="B406" s="55"/>
      <c r="C406" s="51"/>
      <c r="D406" s="75"/>
      <c r="E406" s="53"/>
      <c r="H406" s="53"/>
      <c r="J406" s="53"/>
      <c r="M406" s="53"/>
      <c r="AM406" s="49"/>
    </row>
    <row r="407" spans="2:39" ht="25.15" customHeight="1" x14ac:dyDescent="0.25">
      <c r="B407" s="55"/>
      <c r="C407" s="51"/>
      <c r="D407" s="75"/>
      <c r="E407" s="53"/>
      <c r="H407" s="53"/>
      <c r="J407" s="53"/>
      <c r="M407" s="53"/>
      <c r="AM407" s="49"/>
    </row>
    <row r="408" spans="2:39" ht="25.15" customHeight="1" x14ac:dyDescent="0.25">
      <c r="B408" s="55"/>
      <c r="C408" s="51"/>
      <c r="D408" s="75"/>
      <c r="E408" s="53"/>
      <c r="H408" s="53"/>
      <c r="J408" s="53"/>
      <c r="M408" s="53"/>
      <c r="AM408" s="49"/>
    </row>
    <row r="409" spans="2:39" ht="25.15" customHeight="1" x14ac:dyDescent="0.25">
      <c r="B409" s="55"/>
      <c r="C409" s="51"/>
      <c r="D409" s="75"/>
      <c r="E409" s="53"/>
      <c r="H409" s="53"/>
      <c r="J409" s="53"/>
      <c r="M409" s="53"/>
      <c r="AM409" s="49"/>
    </row>
    <row r="410" spans="2:39" ht="25.15" customHeight="1" x14ac:dyDescent="0.25">
      <c r="B410" s="55"/>
      <c r="C410" s="51"/>
      <c r="D410" s="75"/>
      <c r="E410" s="53"/>
      <c r="H410" s="53"/>
      <c r="J410" s="53"/>
      <c r="M410" s="53"/>
      <c r="AM410" s="49"/>
    </row>
    <row r="411" spans="2:39" ht="25.15" customHeight="1" x14ac:dyDescent="0.25">
      <c r="B411" s="55"/>
      <c r="C411" s="51"/>
      <c r="D411" s="75"/>
      <c r="E411" s="53"/>
      <c r="H411" s="53"/>
      <c r="J411" s="53"/>
      <c r="M411" s="53"/>
      <c r="AM411" s="49"/>
    </row>
    <row r="412" spans="2:39" ht="25.15" customHeight="1" x14ac:dyDescent="0.25">
      <c r="B412" s="55"/>
      <c r="C412" s="51"/>
      <c r="D412" s="75"/>
      <c r="E412" s="53"/>
      <c r="H412" s="53"/>
      <c r="J412" s="53"/>
      <c r="M412" s="53"/>
      <c r="AM412" s="49"/>
    </row>
    <row r="413" spans="2:39" ht="25.15" customHeight="1" x14ac:dyDescent="0.25">
      <c r="B413" s="55"/>
      <c r="C413" s="51"/>
      <c r="D413" s="75"/>
      <c r="E413" s="53"/>
      <c r="H413" s="53"/>
      <c r="J413" s="53"/>
      <c r="M413" s="53"/>
      <c r="AM413" s="49"/>
    </row>
    <row r="414" spans="2:39" ht="25.15" customHeight="1" x14ac:dyDescent="0.25">
      <c r="B414" s="55"/>
      <c r="C414" s="51"/>
      <c r="D414" s="75"/>
      <c r="E414" s="53"/>
      <c r="H414" s="53"/>
      <c r="J414" s="53"/>
      <c r="M414" s="53"/>
      <c r="AM414" s="49"/>
    </row>
    <row r="415" spans="2:39" ht="25.15" customHeight="1" x14ac:dyDescent="0.25">
      <c r="B415" s="55"/>
      <c r="C415" s="51"/>
      <c r="D415" s="75"/>
      <c r="E415" s="53"/>
      <c r="H415" s="53"/>
      <c r="J415" s="53"/>
      <c r="M415" s="53"/>
      <c r="AM415" s="49"/>
    </row>
    <row r="416" spans="2:39" ht="25.15" customHeight="1" x14ac:dyDescent="0.25">
      <c r="B416" s="55"/>
      <c r="C416" s="51"/>
      <c r="D416" s="75"/>
      <c r="E416" s="53"/>
      <c r="H416" s="53"/>
      <c r="J416" s="53"/>
      <c r="M416" s="53"/>
      <c r="AM416" s="49"/>
    </row>
    <row r="417" spans="2:39" ht="25.15" customHeight="1" x14ac:dyDescent="0.25">
      <c r="B417" s="55"/>
      <c r="C417" s="51"/>
      <c r="D417" s="75"/>
      <c r="E417" s="53"/>
      <c r="H417" s="53"/>
      <c r="J417" s="53"/>
      <c r="M417" s="53"/>
      <c r="AM417" s="49"/>
    </row>
    <row r="418" spans="2:39" ht="25.15" customHeight="1" x14ac:dyDescent="0.25">
      <c r="B418" s="55"/>
      <c r="C418" s="51"/>
      <c r="D418" s="75"/>
      <c r="E418" s="53"/>
      <c r="H418" s="53"/>
      <c r="J418" s="53"/>
      <c r="M418" s="53"/>
      <c r="AM418" s="49"/>
    </row>
    <row r="419" spans="2:39" ht="25.15" customHeight="1" x14ac:dyDescent="0.25">
      <c r="B419" s="55"/>
      <c r="C419" s="51"/>
      <c r="D419" s="75"/>
      <c r="E419" s="53"/>
      <c r="H419" s="53"/>
      <c r="J419" s="53"/>
      <c r="M419" s="53"/>
      <c r="AM419" s="49"/>
    </row>
    <row r="420" spans="2:39" ht="25.15" customHeight="1" x14ac:dyDescent="0.25">
      <c r="B420" s="55"/>
      <c r="C420" s="51"/>
      <c r="D420" s="75"/>
      <c r="E420" s="53"/>
      <c r="H420" s="53"/>
      <c r="J420" s="53"/>
      <c r="M420" s="53"/>
      <c r="AM420" s="49"/>
    </row>
    <row r="421" spans="2:39" ht="25.15" customHeight="1" x14ac:dyDescent="0.25">
      <c r="B421" s="55"/>
      <c r="C421" s="51"/>
      <c r="D421" s="75"/>
      <c r="E421" s="53"/>
      <c r="H421" s="53"/>
      <c r="J421" s="53"/>
      <c r="M421" s="53"/>
      <c r="AM421" s="49"/>
    </row>
    <row r="422" spans="2:39" ht="25.15" customHeight="1" x14ac:dyDescent="0.25">
      <c r="B422" s="55"/>
      <c r="C422" s="51"/>
      <c r="D422" s="75"/>
      <c r="E422" s="53"/>
      <c r="H422" s="53"/>
      <c r="J422" s="53"/>
      <c r="M422" s="53"/>
      <c r="AM422" s="49"/>
    </row>
    <row r="423" spans="2:39" ht="25.15" customHeight="1" x14ac:dyDescent="0.25">
      <c r="B423" s="55"/>
      <c r="C423" s="51"/>
      <c r="D423" s="75"/>
      <c r="E423" s="53"/>
      <c r="H423" s="53"/>
      <c r="J423" s="53"/>
      <c r="M423" s="53"/>
      <c r="AM423" s="49"/>
    </row>
    <row r="424" spans="2:39" ht="25.15" customHeight="1" x14ac:dyDescent="0.25">
      <c r="B424" s="55"/>
      <c r="C424" s="51"/>
      <c r="D424" s="75"/>
      <c r="E424" s="53"/>
      <c r="H424" s="53"/>
      <c r="J424" s="53"/>
      <c r="M424" s="53"/>
      <c r="AM424" s="49"/>
    </row>
    <row r="425" spans="2:39" ht="25.15" customHeight="1" x14ac:dyDescent="0.25">
      <c r="B425" s="55"/>
      <c r="C425" s="51"/>
      <c r="D425" s="75"/>
      <c r="E425" s="53"/>
      <c r="H425" s="53"/>
      <c r="J425" s="53"/>
      <c r="M425" s="53"/>
      <c r="AM425" s="49"/>
    </row>
    <row r="426" spans="2:39" ht="25.15" customHeight="1" x14ac:dyDescent="0.25">
      <c r="B426" s="55"/>
      <c r="C426" s="51"/>
      <c r="D426" s="75"/>
      <c r="E426" s="53"/>
      <c r="H426" s="53"/>
      <c r="J426" s="53"/>
      <c r="M426" s="53"/>
      <c r="AM426" s="49"/>
    </row>
    <row r="427" spans="2:39" ht="25.15" customHeight="1" x14ac:dyDescent="0.25">
      <c r="B427" s="55"/>
      <c r="C427" s="51"/>
      <c r="D427" s="75"/>
      <c r="E427" s="53"/>
      <c r="H427" s="53"/>
      <c r="J427" s="53"/>
      <c r="M427" s="53"/>
      <c r="AM427" s="49"/>
    </row>
    <row r="428" spans="2:39" ht="25.15" customHeight="1" x14ac:dyDescent="0.25">
      <c r="B428" s="55"/>
      <c r="C428" s="51"/>
      <c r="D428" s="75"/>
      <c r="E428" s="53"/>
      <c r="H428" s="53"/>
      <c r="J428" s="53"/>
      <c r="M428" s="53"/>
      <c r="AM428" s="49"/>
    </row>
    <row r="429" spans="2:39" ht="25.15" customHeight="1" x14ac:dyDescent="0.25">
      <c r="B429" s="55"/>
      <c r="C429" s="51"/>
      <c r="D429" s="75"/>
      <c r="E429" s="53"/>
      <c r="H429" s="53"/>
      <c r="J429" s="53"/>
      <c r="M429" s="53"/>
      <c r="AM429" s="49"/>
    </row>
    <row r="430" spans="2:39" ht="25.15" customHeight="1" x14ac:dyDescent="0.25">
      <c r="B430" s="55"/>
      <c r="C430" s="51"/>
      <c r="D430" s="75"/>
      <c r="E430" s="53"/>
      <c r="H430" s="53"/>
      <c r="J430" s="53"/>
      <c r="M430" s="53"/>
      <c r="AM430" s="49"/>
    </row>
    <row r="431" spans="2:39" ht="25.15" customHeight="1" x14ac:dyDescent="0.25">
      <c r="B431" s="55"/>
      <c r="C431" s="51"/>
      <c r="D431" s="75"/>
      <c r="E431" s="53"/>
      <c r="H431" s="53"/>
      <c r="J431" s="53"/>
      <c r="M431" s="53"/>
      <c r="AM431" s="49"/>
    </row>
    <row r="432" spans="2:39" ht="25.15" customHeight="1" x14ac:dyDescent="0.25">
      <c r="B432" s="55"/>
      <c r="C432" s="51"/>
      <c r="D432" s="75"/>
      <c r="E432" s="53"/>
      <c r="H432" s="53"/>
      <c r="J432" s="53"/>
      <c r="M432" s="53"/>
      <c r="AM432" s="49"/>
    </row>
    <row r="433" spans="2:39" ht="25.15" customHeight="1" x14ac:dyDescent="0.25">
      <c r="B433" s="55"/>
      <c r="C433" s="51"/>
      <c r="D433" s="75"/>
      <c r="E433" s="53"/>
      <c r="H433" s="53"/>
      <c r="J433" s="53"/>
      <c r="M433" s="53"/>
      <c r="AM433" s="49"/>
    </row>
    <row r="434" spans="2:39" ht="25.15" customHeight="1" x14ac:dyDescent="0.25">
      <c r="B434" s="55"/>
      <c r="C434" s="51"/>
      <c r="D434" s="75"/>
      <c r="E434" s="53"/>
      <c r="H434" s="53"/>
      <c r="J434" s="53"/>
      <c r="M434" s="53"/>
      <c r="AM434" s="49"/>
    </row>
    <row r="435" spans="2:39" ht="25.15" customHeight="1" x14ac:dyDescent="0.25">
      <c r="B435" s="55"/>
      <c r="C435" s="51"/>
      <c r="D435" s="75"/>
      <c r="E435" s="53"/>
      <c r="H435" s="53"/>
      <c r="J435" s="53"/>
      <c r="M435" s="53"/>
      <c r="AM435" s="49"/>
    </row>
    <row r="436" spans="2:39" ht="25.15" customHeight="1" x14ac:dyDescent="0.25">
      <c r="B436" s="55"/>
      <c r="C436" s="51"/>
      <c r="D436" s="75"/>
      <c r="E436" s="53"/>
      <c r="H436" s="53"/>
      <c r="J436" s="53"/>
      <c r="M436" s="53"/>
      <c r="AM436" s="49"/>
    </row>
    <row r="437" spans="2:39" ht="25.15" customHeight="1" x14ac:dyDescent="0.25">
      <c r="B437" s="55"/>
      <c r="C437" s="51"/>
      <c r="D437" s="75"/>
      <c r="E437" s="53"/>
      <c r="H437" s="53"/>
      <c r="J437" s="53"/>
      <c r="M437" s="53"/>
      <c r="AM437" s="49"/>
    </row>
    <row r="438" spans="2:39" ht="25.15" customHeight="1" x14ac:dyDescent="0.25">
      <c r="B438" s="55"/>
      <c r="C438" s="51"/>
      <c r="D438" s="75"/>
      <c r="E438" s="53"/>
      <c r="H438" s="53"/>
      <c r="J438" s="53"/>
      <c r="M438" s="53"/>
      <c r="AM438" s="49"/>
    </row>
    <row r="439" spans="2:39" ht="25.15" customHeight="1" x14ac:dyDescent="0.25">
      <c r="B439" s="55"/>
      <c r="C439" s="51"/>
      <c r="D439" s="75"/>
      <c r="E439" s="53"/>
      <c r="H439" s="53"/>
      <c r="J439" s="53"/>
      <c r="M439" s="53"/>
      <c r="AM439" s="49"/>
    </row>
    <row r="440" spans="2:39" ht="25.15" customHeight="1" x14ac:dyDescent="0.25">
      <c r="B440" s="55"/>
      <c r="C440" s="51"/>
      <c r="D440" s="75"/>
      <c r="E440" s="53"/>
      <c r="H440" s="53"/>
      <c r="J440" s="53"/>
      <c r="M440" s="53"/>
      <c r="AM440" s="49"/>
    </row>
    <row r="441" spans="2:39" ht="25.15" customHeight="1" x14ac:dyDescent="0.25">
      <c r="B441" s="55"/>
      <c r="C441" s="51"/>
      <c r="D441" s="75"/>
      <c r="E441" s="53"/>
      <c r="H441" s="53"/>
      <c r="J441" s="53"/>
      <c r="M441" s="53"/>
      <c r="AM441" s="49"/>
    </row>
    <row r="442" spans="2:39" ht="25.15" customHeight="1" x14ac:dyDescent="0.25">
      <c r="B442" s="55"/>
      <c r="C442" s="51"/>
      <c r="D442" s="75"/>
      <c r="E442" s="53"/>
      <c r="H442" s="53"/>
      <c r="J442" s="53"/>
      <c r="M442" s="53"/>
      <c r="AM442" s="49"/>
    </row>
    <row r="443" spans="2:39" ht="25.15" customHeight="1" x14ac:dyDescent="0.25">
      <c r="B443" s="55"/>
      <c r="C443" s="51"/>
      <c r="D443" s="75"/>
      <c r="E443" s="53"/>
      <c r="H443" s="53"/>
      <c r="J443" s="53"/>
      <c r="M443" s="53"/>
      <c r="AM443" s="49"/>
    </row>
    <row r="444" spans="2:39" ht="25.15" customHeight="1" x14ac:dyDescent="0.25">
      <c r="B444" s="55"/>
      <c r="C444" s="51"/>
      <c r="D444" s="75"/>
      <c r="E444" s="53"/>
      <c r="H444" s="53"/>
      <c r="J444" s="53"/>
      <c r="M444" s="53"/>
      <c r="AM444" s="49"/>
    </row>
    <row r="445" spans="2:39" ht="25.15" customHeight="1" x14ac:dyDescent="0.25">
      <c r="B445" s="55"/>
      <c r="C445" s="51"/>
      <c r="D445" s="75"/>
      <c r="E445" s="53"/>
      <c r="H445" s="53"/>
      <c r="J445" s="53"/>
      <c r="M445" s="53"/>
      <c r="AM445" s="49"/>
    </row>
    <row r="446" spans="2:39" ht="25.15" customHeight="1" x14ac:dyDescent="0.25">
      <c r="B446" s="55"/>
      <c r="C446" s="51"/>
      <c r="D446" s="75"/>
      <c r="E446" s="53"/>
      <c r="H446" s="53"/>
      <c r="J446" s="53"/>
      <c r="M446" s="53"/>
      <c r="AM446" s="49"/>
    </row>
    <row r="447" spans="2:39" ht="25.15" customHeight="1" x14ac:dyDescent="0.25">
      <c r="B447" s="55"/>
      <c r="C447" s="51"/>
      <c r="D447" s="75"/>
      <c r="E447" s="53"/>
      <c r="H447" s="53"/>
      <c r="J447" s="53"/>
      <c r="M447" s="53"/>
      <c r="AM447" s="49"/>
    </row>
    <row r="448" spans="2:39" ht="25.15" customHeight="1" x14ac:dyDescent="0.25">
      <c r="B448" s="55"/>
      <c r="C448" s="51"/>
      <c r="D448" s="75"/>
      <c r="E448" s="53"/>
      <c r="H448" s="53"/>
      <c r="J448" s="53"/>
      <c r="M448" s="53"/>
      <c r="AM448" s="49"/>
    </row>
    <row r="449" spans="2:39" ht="25.15" customHeight="1" x14ac:dyDescent="0.25">
      <c r="B449" s="55"/>
      <c r="C449" s="51"/>
      <c r="D449" s="75"/>
      <c r="E449" s="53"/>
      <c r="H449" s="53"/>
      <c r="J449" s="53"/>
      <c r="M449" s="53"/>
      <c r="AM449" s="49"/>
    </row>
    <row r="450" spans="2:39" ht="25.15" customHeight="1" x14ac:dyDescent="0.25">
      <c r="B450" s="55"/>
      <c r="C450" s="51"/>
      <c r="D450" s="75"/>
      <c r="E450" s="53"/>
      <c r="H450" s="53"/>
      <c r="J450" s="53"/>
      <c r="M450" s="53"/>
      <c r="AM450" s="49"/>
    </row>
    <row r="451" spans="2:39" ht="25.15" customHeight="1" x14ac:dyDescent="0.25">
      <c r="B451" s="55"/>
      <c r="C451" s="51"/>
      <c r="D451" s="75"/>
      <c r="E451" s="53"/>
      <c r="H451" s="53"/>
      <c r="J451" s="53"/>
      <c r="M451" s="53"/>
      <c r="AM451" s="49"/>
    </row>
    <row r="452" spans="2:39" ht="25.15" customHeight="1" x14ac:dyDescent="0.25">
      <c r="B452" s="55"/>
      <c r="C452" s="51"/>
      <c r="D452" s="75"/>
      <c r="E452" s="53"/>
      <c r="H452" s="53"/>
      <c r="J452" s="53"/>
      <c r="M452" s="53"/>
      <c r="AM452" s="49"/>
    </row>
    <row r="453" spans="2:39" ht="25.15" customHeight="1" x14ac:dyDescent="0.25">
      <c r="B453" s="55"/>
      <c r="C453" s="51"/>
      <c r="D453" s="75"/>
      <c r="E453" s="53"/>
      <c r="H453" s="53"/>
      <c r="J453" s="53"/>
      <c r="M453" s="53"/>
      <c r="AM453" s="49"/>
    </row>
    <row r="454" spans="2:39" ht="25.15" customHeight="1" x14ac:dyDescent="0.25">
      <c r="B454" s="55"/>
      <c r="C454" s="51"/>
      <c r="D454" s="75"/>
      <c r="E454" s="53"/>
      <c r="H454" s="53"/>
      <c r="J454" s="53"/>
      <c r="M454" s="53"/>
      <c r="AM454" s="49"/>
    </row>
    <row r="455" spans="2:39" ht="25.15" customHeight="1" x14ac:dyDescent="0.25">
      <c r="B455" s="55"/>
      <c r="C455" s="51"/>
      <c r="D455" s="75"/>
      <c r="E455" s="53"/>
      <c r="H455" s="53"/>
      <c r="J455" s="53"/>
      <c r="M455" s="53"/>
      <c r="AM455" s="49"/>
    </row>
    <row r="456" spans="2:39" ht="25.15" customHeight="1" x14ac:dyDescent="0.25">
      <c r="B456" s="55"/>
      <c r="C456" s="51"/>
      <c r="D456" s="75"/>
      <c r="E456" s="53"/>
      <c r="H456" s="53"/>
      <c r="J456" s="53"/>
      <c r="M456" s="53"/>
      <c r="AM456" s="49"/>
    </row>
    <row r="457" spans="2:39" ht="25.15" customHeight="1" x14ac:dyDescent="0.25">
      <c r="B457" s="55"/>
      <c r="C457" s="51"/>
      <c r="D457" s="75"/>
      <c r="E457" s="53"/>
      <c r="H457" s="53"/>
      <c r="J457" s="53"/>
      <c r="M457" s="53"/>
      <c r="AM457" s="49"/>
    </row>
    <row r="458" spans="2:39" ht="25.15" customHeight="1" x14ac:dyDescent="0.25">
      <c r="B458" s="55"/>
      <c r="C458" s="51"/>
      <c r="D458" s="75"/>
      <c r="E458" s="53"/>
      <c r="H458" s="53"/>
      <c r="J458" s="53"/>
      <c r="M458" s="53"/>
      <c r="AM458" s="49"/>
    </row>
    <row r="459" spans="2:39" ht="25.15" customHeight="1" x14ac:dyDescent="0.25">
      <c r="B459" s="55"/>
      <c r="C459" s="51"/>
      <c r="D459" s="75"/>
      <c r="E459" s="53"/>
      <c r="H459" s="53"/>
      <c r="J459" s="53"/>
      <c r="M459" s="53"/>
      <c r="AM459" s="49"/>
    </row>
    <row r="460" spans="2:39" ht="25.15" customHeight="1" x14ac:dyDescent="0.25">
      <c r="B460" s="55"/>
      <c r="C460" s="51"/>
      <c r="D460" s="75"/>
      <c r="E460" s="53"/>
      <c r="H460" s="53"/>
      <c r="J460" s="53"/>
      <c r="M460" s="53"/>
      <c r="AM460" s="49"/>
    </row>
    <row r="461" spans="2:39" ht="25.15" customHeight="1" x14ac:dyDescent="0.25">
      <c r="B461" s="55"/>
      <c r="C461" s="51"/>
      <c r="D461" s="75"/>
      <c r="E461" s="53"/>
      <c r="H461" s="53"/>
      <c r="J461" s="53"/>
      <c r="M461" s="53"/>
      <c r="AM461" s="49"/>
    </row>
    <row r="462" spans="2:39" ht="25.15" customHeight="1" x14ac:dyDescent="0.25">
      <c r="B462" s="55"/>
      <c r="C462" s="51"/>
      <c r="D462" s="75"/>
      <c r="E462" s="53"/>
      <c r="H462" s="53"/>
      <c r="J462" s="53"/>
      <c r="M462" s="53"/>
      <c r="AM462" s="49"/>
    </row>
    <row r="463" spans="2:39" ht="25.15" customHeight="1" x14ac:dyDescent="0.25">
      <c r="B463" s="55"/>
      <c r="C463" s="51"/>
      <c r="D463" s="75"/>
      <c r="E463" s="53"/>
      <c r="H463" s="53"/>
      <c r="J463" s="53"/>
      <c r="M463" s="53"/>
      <c r="AM463" s="49"/>
    </row>
    <row r="464" spans="2:39" ht="25.15" customHeight="1" x14ac:dyDescent="0.25">
      <c r="B464" s="55"/>
      <c r="C464" s="51"/>
      <c r="D464" s="75"/>
      <c r="E464" s="53"/>
      <c r="H464" s="53"/>
      <c r="J464" s="53"/>
      <c r="M464" s="53"/>
      <c r="AM464" s="49"/>
    </row>
    <row r="465" spans="2:39" ht="25.15" customHeight="1" x14ac:dyDescent="0.25">
      <c r="B465" s="55"/>
      <c r="C465" s="51"/>
      <c r="D465" s="75"/>
      <c r="E465" s="53"/>
      <c r="H465" s="53"/>
      <c r="J465" s="53"/>
      <c r="M465" s="53"/>
      <c r="AM465" s="49"/>
    </row>
    <row r="466" spans="2:39" ht="25.15" customHeight="1" x14ac:dyDescent="0.25">
      <c r="B466" s="55"/>
      <c r="C466" s="51"/>
      <c r="D466" s="75"/>
      <c r="E466" s="53"/>
      <c r="H466" s="53"/>
      <c r="J466" s="53"/>
      <c r="M466" s="53"/>
      <c r="AM466" s="49"/>
    </row>
    <row r="467" spans="2:39" ht="25.15" customHeight="1" x14ac:dyDescent="0.25">
      <c r="B467" s="55"/>
      <c r="C467" s="51"/>
      <c r="D467" s="75"/>
      <c r="E467" s="53"/>
      <c r="H467" s="53"/>
      <c r="J467" s="53"/>
      <c r="M467" s="53"/>
      <c r="AM467" s="49"/>
    </row>
    <row r="468" spans="2:39" ht="25.15" customHeight="1" x14ac:dyDescent="0.25">
      <c r="B468" s="55"/>
      <c r="C468" s="51"/>
      <c r="D468" s="75"/>
      <c r="E468" s="53"/>
      <c r="H468" s="53"/>
      <c r="J468" s="53"/>
      <c r="M468" s="53"/>
      <c r="AM468" s="49"/>
    </row>
    <row r="469" spans="2:39" ht="25.15" customHeight="1" x14ac:dyDescent="0.25">
      <c r="B469" s="55"/>
      <c r="C469" s="51"/>
      <c r="D469" s="75"/>
      <c r="E469" s="53"/>
      <c r="H469" s="53"/>
      <c r="J469" s="53"/>
      <c r="M469" s="53"/>
      <c r="AM469" s="49"/>
    </row>
    <row r="470" spans="2:39" ht="25.15" customHeight="1" x14ac:dyDescent="0.25">
      <c r="B470" s="55"/>
      <c r="C470" s="51"/>
      <c r="D470" s="75"/>
      <c r="E470" s="53"/>
      <c r="H470" s="53"/>
      <c r="J470" s="53"/>
      <c r="M470" s="53"/>
      <c r="AM470" s="49"/>
    </row>
    <row r="471" spans="2:39" ht="25.15" customHeight="1" x14ac:dyDescent="0.25">
      <c r="B471" s="55"/>
      <c r="C471" s="51"/>
      <c r="D471" s="75"/>
      <c r="E471" s="53"/>
      <c r="H471" s="53"/>
      <c r="J471" s="53"/>
      <c r="M471" s="53"/>
      <c r="AM471" s="49"/>
    </row>
    <row r="472" spans="2:39" ht="25.15" customHeight="1" x14ac:dyDescent="0.25">
      <c r="B472" s="55"/>
      <c r="C472" s="51"/>
      <c r="D472" s="75"/>
      <c r="E472" s="53"/>
      <c r="H472" s="53"/>
      <c r="J472" s="53"/>
      <c r="M472" s="53"/>
      <c r="AM472" s="49"/>
    </row>
    <row r="473" spans="2:39" ht="25.15" customHeight="1" x14ac:dyDescent="0.25">
      <c r="B473" s="55"/>
      <c r="C473" s="51"/>
      <c r="D473" s="75"/>
      <c r="E473" s="53"/>
      <c r="H473" s="53"/>
      <c r="J473" s="53"/>
      <c r="M473" s="53"/>
      <c r="AM473" s="49"/>
    </row>
    <row r="474" spans="2:39" ht="25.15" customHeight="1" x14ac:dyDescent="0.25">
      <c r="B474" s="55"/>
      <c r="C474" s="51"/>
      <c r="D474" s="75"/>
      <c r="E474" s="53"/>
      <c r="H474" s="53"/>
      <c r="J474" s="53"/>
      <c r="M474" s="53"/>
      <c r="AM474" s="49"/>
    </row>
    <row r="475" spans="2:39" ht="25.15" customHeight="1" x14ac:dyDescent="0.25">
      <c r="B475" s="55"/>
      <c r="C475" s="51"/>
      <c r="D475" s="75"/>
      <c r="E475" s="53"/>
      <c r="H475" s="53"/>
      <c r="J475" s="53"/>
      <c r="M475" s="53"/>
      <c r="AM475" s="49"/>
    </row>
    <row r="476" spans="2:39" ht="25.15" customHeight="1" x14ac:dyDescent="0.25">
      <c r="B476" s="55"/>
      <c r="C476" s="51"/>
      <c r="D476" s="75"/>
      <c r="E476" s="53"/>
      <c r="H476" s="53"/>
      <c r="J476" s="53"/>
      <c r="M476" s="53"/>
      <c r="AM476" s="49"/>
    </row>
    <row r="477" spans="2:39" ht="25.15" customHeight="1" x14ac:dyDescent="0.25">
      <c r="B477" s="55"/>
      <c r="C477" s="51"/>
      <c r="D477" s="75"/>
      <c r="E477" s="53"/>
      <c r="H477" s="53"/>
      <c r="J477" s="53"/>
      <c r="M477" s="53"/>
      <c r="AM477" s="49"/>
    </row>
    <row r="478" spans="2:39" ht="25.15" customHeight="1" x14ac:dyDescent="0.25">
      <c r="B478" s="55"/>
      <c r="C478" s="51"/>
      <c r="D478" s="75"/>
      <c r="E478" s="53"/>
      <c r="H478" s="53"/>
      <c r="J478" s="53"/>
      <c r="M478" s="53"/>
      <c r="AM478" s="49"/>
    </row>
    <row r="479" spans="2:39" ht="25.15" customHeight="1" x14ac:dyDescent="0.25">
      <c r="B479" s="55"/>
      <c r="C479" s="51"/>
      <c r="D479" s="75"/>
      <c r="E479" s="53"/>
      <c r="H479" s="53"/>
      <c r="J479" s="53"/>
      <c r="M479" s="53"/>
      <c r="AM479" s="49"/>
    </row>
    <row r="480" spans="2:39" ht="25.15" customHeight="1" x14ac:dyDescent="0.25">
      <c r="B480" s="55"/>
      <c r="C480" s="51"/>
      <c r="D480" s="75"/>
      <c r="E480" s="53"/>
      <c r="H480" s="53"/>
      <c r="J480" s="53"/>
      <c r="M480" s="53"/>
      <c r="AM480" s="49"/>
    </row>
    <row r="481" spans="2:39" ht="25.15" customHeight="1" x14ac:dyDescent="0.25">
      <c r="B481" s="55"/>
      <c r="C481" s="51"/>
      <c r="D481" s="75"/>
      <c r="E481" s="53"/>
      <c r="H481" s="53"/>
      <c r="J481" s="53"/>
      <c r="M481" s="53"/>
      <c r="AM481" s="49"/>
    </row>
    <row r="482" spans="2:39" ht="25.15" customHeight="1" x14ac:dyDescent="0.25">
      <c r="B482" s="55"/>
      <c r="C482" s="51"/>
      <c r="D482" s="75"/>
      <c r="E482" s="53"/>
      <c r="H482" s="53"/>
      <c r="J482" s="53"/>
      <c r="M482" s="53"/>
      <c r="AM482" s="49"/>
    </row>
    <row r="483" spans="2:39" ht="25.15" customHeight="1" x14ac:dyDescent="0.25">
      <c r="B483" s="55"/>
      <c r="C483" s="51"/>
      <c r="D483" s="75"/>
      <c r="E483" s="53"/>
      <c r="H483" s="53"/>
      <c r="J483" s="53"/>
      <c r="M483" s="53"/>
      <c r="AM483" s="49"/>
    </row>
    <row r="484" spans="2:39" ht="25.15" customHeight="1" x14ac:dyDescent="0.25">
      <c r="B484" s="55"/>
      <c r="C484" s="51"/>
      <c r="D484" s="75"/>
      <c r="E484" s="53"/>
      <c r="H484" s="53"/>
      <c r="J484" s="53"/>
      <c r="M484" s="53"/>
      <c r="AM484" s="49"/>
    </row>
    <row r="485" spans="2:39" ht="25.15" customHeight="1" x14ac:dyDescent="0.25">
      <c r="B485" s="55"/>
      <c r="C485" s="51"/>
      <c r="D485" s="75"/>
      <c r="E485" s="53"/>
      <c r="H485" s="53"/>
      <c r="J485" s="53"/>
      <c r="M485" s="53"/>
      <c r="AM485" s="49"/>
    </row>
    <row r="486" spans="2:39" ht="25.15" customHeight="1" x14ac:dyDescent="0.25">
      <c r="B486" s="55"/>
      <c r="C486" s="51"/>
      <c r="D486" s="75"/>
      <c r="E486" s="53"/>
      <c r="H486" s="53"/>
      <c r="J486" s="53"/>
      <c r="M486" s="53"/>
      <c r="AM486" s="49"/>
    </row>
    <row r="487" spans="2:39" ht="25.15" customHeight="1" x14ac:dyDescent="0.25">
      <c r="B487" s="55"/>
      <c r="C487" s="51"/>
      <c r="D487" s="75"/>
      <c r="E487" s="53"/>
      <c r="H487" s="53"/>
      <c r="J487" s="53"/>
      <c r="M487" s="53"/>
      <c r="AM487" s="49"/>
    </row>
    <row r="488" spans="2:39" ht="25.15" customHeight="1" x14ac:dyDescent="0.25">
      <c r="B488" s="55"/>
      <c r="C488" s="51"/>
      <c r="D488" s="75"/>
      <c r="E488" s="53"/>
      <c r="H488" s="53"/>
      <c r="J488" s="53"/>
      <c r="M488" s="53"/>
      <c r="AM488" s="49"/>
    </row>
    <row r="489" spans="2:39" ht="25.15" customHeight="1" x14ac:dyDescent="0.25">
      <c r="B489" s="55"/>
      <c r="C489" s="51"/>
      <c r="D489" s="75"/>
      <c r="E489" s="53"/>
      <c r="H489" s="53"/>
      <c r="J489" s="53"/>
      <c r="M489" s="53"/>
      <c r="AM489" s="49"/>
    </row>
    <row r="490" spans="2:39" ht="25.15" customHeight="1" x14ac:dyDescent="0.25">
      <c r="B490" s="55"/>
      <c r="C490" s="51"/>
      <c r="D490" s="75"/>
      <c r="E490" s="53"/>
      <c r="H490" s="53"/>
      <c r="J490" s="53"/>
      <c r="M490" s="53"/>
      <c r="AM490" s="49"/>
    </row>
    <row r="491" spans="2:39" ht="25.15" customHeight="1" x14ac:dyDescent="0.25">
      <c r="B491" s="55"/>
      <c r="C491" s="51"/>
      <c r="D491" s="75"/>
      <c r="E491" s="53"/>
      <c r="H491" s="53"/>
      <c r="J491" s="53"/>
      <c r="M491" s="53"/>
      <c r="AM491" s="49"/>
    </row>
    <row r="492" spans="2:39" ht="25.15" customHeight="1" x14ac:dyDescent="0.25">
      <c r="B492" s="55"/>
      <c r="C492" s="51"/>
      <c r="D492" s="75"/>
      <c r="E492" s="53"/>
      <c r="H492" s="53"/>
      <c r="J492" s="53"/>
      <c r="M492" s="53"/>
      <c r="AM492" s="49"/>
    </row>
    <row r="493" spans="2:39" ht="25.15" customHeight="1" x14ac:dyDescent="0.25">
      <c r="B493" s="55"/>
      <c r="C493" s="51"/>
      <c r="D493" s="75"/>
      <c r="E493" s="53"/>
      <c r="H493" s="53"/>
      <c r="J493" s="53"/>
      <c r="M493" s="53"/>
      <c r="AM493" s="49"/>
    </row>
    <row r="494" spans="2:39" ht="25.15" customHeight="1" x14ac:dyDescent="0.25">
      <c r="B494" s="55"/>
      <c r="C494" s="51"/>
      <c r="D494" s="75"/>
      <c r="E494" s="53"/>
      <c r="H494" s="53"/>
      <c r="J494" s="53"/>
      <c r="M494" s="53"/>
      <c r="AM494" s="49"/>
    </row>
    <row r="495" spans="2:39" ht="25.15" customHeight="1" x14ac:dyDescent="0.25">
      <c r="B495" s="55"/>
      <c r="C495" s="51"/>
      <c r="D495" s="75"/>
      <c r="E495" s="53"/>
      <c r="H495" s="53"/>
      <c r="J495" s="53"/>
      <c r="M495" s="53"/>
      <c r="AM495" s="49"/>
    </row>
    <row r="496" spans="2:39" ht="25.15" customHeight="1" x14ac:dyDescent="0.25">
      <c r="B496" s="55"/>
      <c r="C496" s="51"/>
      <c r="D496" s="75"/>
      <c r="E496" s="53"/>
      <c r="H496" s="53"/>
      <c r="J496" s="53"/>
      <c r="M496" s="53"/>
      <c r="AM496" s="49"/>
    </row>
    <row r="497" spans="2:39" ht="25.15" customHeight="1" x14ac:dyDescent="0.25">
      <c r="B497" s="55"/>
      <c r="C497" s="51"/>
      <c r="D497" s="75"/>
      <c r="E497" s="53"/>
      <c r="H497" s="53"/>
      <c r="J497" s="53"/>
      <c r="M497" s="53"/>
      <c r="AM497" s="49"/>
    </row>
    <row r="498" spans="2:39" ht="25.15" customHeight="1" x14ac:dyDescent="0.25">
      <c r="B498" s="55"/>
      <c r="C498" s="51"/>
      <c r="D498" s="75"/>
      <c r="E498" s="53"/>
      <c r="H498" s="53"/>
      <c r="J498" s="53"/>
      <c r="M498" s="53"/>
      <c r="AM498" s="49"/>
    </row>
    <row r="499" spans="2:39" ht="25.15" customHeight="1" x14ac:dyDescent="0.25">
      <c r="B499" s="55"/>
      <c r="C499" s="51"/>
      <c r="D499" s="75"/>
      <c r="E499" s="53"/>
      <c r="H499" s="53"/>
      <c r="J499" s="53"/>
      <c r="M499" s="53"/>
      <c r="AM499" s="49"/>
    </row>
    <row r="500" spans="2:39" ht="25.15" customHeight="1" x14ac:dyDescent="0.25">
      <c r="B500" s="55"/>
      <c r="C500" s="51"/>
      <c r="D500" s="75"/>
      <c r="E500" s="53"/>
      <c r="H500" s="53"/>
      <c r="J500" s="53"/>
      <c r="M500" s="53"/>
      <c r="AM500" s="49"/>
    </row>
    <row r="501" spans="2:39" ht="25.15" customHeight="1" x14ac:dyDescent="0.25">
      <c r="B501" s="55"/>
      <c r="C501" s="51"/>
      <c r="D501" s="75"/>
      <c r="E501" s="53"/>
      <c r="H501" s="53"/>
      <c r="J501" s="53"/>
      <c r="M501" s="53"/>
      <c r="AM501" s="49"/>
    </row>
    <row r="502" spans="2:39" ht="25.15" customHeight="1" x14ac:dyDescent="0.25">
      <c r="B502" s="55"/>
      <c r="C502" s="51"/>
      <c r="D502" s="75"/>
      <c r="E502" s="53"/>
      <c r="H502" s="53"/>
      <c r="J502" s="53"/>
      <c r="M502" s="53"/>
      <c r="AM502" s="49"/>
    </row>
    <row r="503" spans="2:39" ht="25.15" customHeight="1" x14ac:dyDescent="0.25">
      <c r="B503" s="55"/>
      <c r="C503" s="51"/>
      <c r="D503" s="75"/>
      <c r="E503" s="53"/>
      <c r="H503" s="53"/>
      <c r="J503" s="53"/>
      <c r="M503" s="53"/>
      <c r="AM503" s="49"/>
    </row>
    <row r="504" spans="2:39" ht="25.15" customHeight="1" x14ac:dyDescent="0.25">
      <c r="B504" s="55"/>
      <c r="C504" s="51"/>
      <c r="D504" s="75"/>
      <c r="E504" s="53"/>
      <c r="H504" s="53"/>
      <c r="J504" s="53"/>
      <c r="M504" s="53"/>
      <c r="AM504" s="49"/>
    </row>
    <row r="505" spans="2:39" ht="25.15" customHeight="1" x14ac:dyDescent="0.25">
      <c r="B505" s="55"/>
      <c r="C505" s="51"/>
      <c r="D505" s="75"/>
      <c r="E505" s="53"/>
      <c r="H505" s="53"/>
      <c r="J505" s="53"/>
      <c r="M505" s="53"/>
      <c r="AM505" s="49"/>
    </row>
    <row r="506" spans="2:39" ht="25.15" customHeight="1" x14ac:dyDescent="0.25">
      <c r="B506" s="55"/>
      <c r="C506" s="51"/>
      <c r="D506" s="75"/>
      <c r="E506" s="53"/>
      <c r="H506" s="53"/>
      <c r="J506" s="53"/>
      <c r="M506" s="53"/>
      <c r="AM506" s="49"/>
    </row>
    <row r="507" spans="2:39" ht="25.15" customHeight="1" x14ac:dyDescent="0.25">
      <c r="B507" s="55"/>
      <c r="C507" s="51"/>
      <c r="D507" s="75"/>
      <c r="E507" s="53"/>
      <c r="H507" s="53"/>
      <c r="J507" s="53"/>
      <c r="M507" s="53"/>
      <c r="AM507" s="49"/>
    </row>
    <row r="508" spans="2:39" ht="25.15" customHeight="1" x14ac:dyDescent="0.25">
      <c r="B508" s="55"/>
      <c r="C508" s="51"/>
      <c r="D508" s="75"/>
      <c r="E508" s="53"/>
      <c r="H508" s="53"/>
      <c r="J508" s="53"/>
      <c r="M508" s="53"/>
      <c r="AM508" s="49"/>
    </row>
    <row r="509" spans="2:39" ht="25.15" customHeight="1" x14ac:dyDescent="0.25">
      <c r="B509" s="55"/>
      <c r="C509" s="51"/>
      <c r="D509" s="75"/>
      <c r="E509" s="53"/>
      <c r="H509" s="53"/>
      <c r="J509" s="53"/>
      <c r="M509" s="53"/>
      <c r="AM509" s="49"/>
    </row>
    <row r="510" spans="2:39" ht="25.15" customHeight="1" x14ac:dyDescent="0.25">
      <c r="B510" s="55"/>
      <c r="C510" s="51"/>
      <c r="D510" s="75"/>
      <c r="E510" s="53"/>
      <c r="H510" s="53"/>
      <c r="J510" s="53"/>
      <c r="M510" s="53"/>
      <c r="AM510" s="49"/>
    </row>
    <row r="511" spans="2:39" ht="25.15" customHeight="1" x14ac:dyDescent="0.25">
      <c r="B511" s="55"/>
      <c r="C511" s="51"/>
      <c r="D511" s="75"/>
      <c r="E511" s="53"/>
      <c r="H511" s="53"/>
      <c r="J511" s="53"/>
      <c r="M511" s="53"/>
      <c r="AM511" s="49"/>
    </row>
    <row r="512" spans="2:39" ht="25.15" customHeight="1" x14ac:dyDescent="0.25">
      <c r="B512" s="55"/>
      <c r="C512" s="51"/>
      <c r="D512" s="75"/>
      <c r="E512" s="53"/>
      <c r="H512" s="53"/>
      <c r="J512" s="53"/>
      <c r="M512" s="53"/>
      <c r="AM512" s="49"/>
    </row>
    <row r="513" spans="2:39" ht="25.15" customHeight="1" x14ac:dyDescent="0.25">
      <c r="B513" s="55"/>
      <c r="C513" s="51"/>
      <c r="D513" s="75"/>
      <c r="E513" s="53"/>
      <c r="H513" s="53"/>
      <c r="J513" s="53"/>
      <c r="M513" s="53"/>
      <c r="AM513" s="49"/>
    </row>
    <row r="514" spans="2:39" ht="25.15" customHeight="1" x14ac:dyDescent="0.25">
      <c r="B514" s="55"/>
      <c r="C514" s="51"/>
      <c r="D514" s="75"/>
      <c r="E514" s="53"/>
      <c r="H514" s="53"/>
      <c r="J514" s="53"/>
      <c r="M514" s="53"/>
      <c r="AM514" s="49"/>
    </row>
    <row r="515" spans="2:39" ht="25.15" customHeight="1" x14ac:dyDescent="0.25">
      <c r="B515" s="55"/>
      <c r="C515" s="51"/>
      <c r="D515" s="75"/>
      <c r="E515" s="53"/>
      <c r="H515" s="53"/>
      <c r="J515" s="53"/>
      <c r="M515" s="53"/>
      <c r="AM515" s="49"/>
    </row>
    <row r="516" spans="2:39" ht="25.15" customHeight="1" x14ac:dyDescent="0.25">
      <c r="B516" s="55"/>
      <c r="C516" s="51"/>
      <c r="D516" s="75"/>
      <c r="E516" s="53"/>
      <c r="H516" s="53"/>
      <c r="J516" s="53"/>
      <c r="M516" s="53"/>
      <c r="AM516" s="49"/>
    </row>
    <row r="517" spans="2:39" ht="25.15" customHeight="1" x14ac:dyDescent="0.25">
      <c r="B517" s="55"/>
      <c r="C517" s="51"/>
      <c r="D517" s="75"/>
      <c r="E517" s="53"/>
      <c r="H517" s="53"/>
      <c r="J517" s="53"/>
      <c r="M517" s="53"/>
      <c r="AM517" s="49"/>
    </row>
    <row r="518" spans="2:39" ht="25.15" customHeight="1" x14ac:dyDescent="0.25">
      <c r="B518" s="55"/>
      <c r="C518" s="51"/>
      <c r="D518" s="75"/>
      <c r="E518" s="53"/>
      <c r="H518" s="53"/>
      <c r="J518" s="53"/>
      <c r="M518" s="53"/>
      <c r="AM518" s="49"/>
    </row>
    <row r="519" spans="2:39" ht="25.15" customHeight="1" x14ac:dyDescent="0.25">
      <c r="B519" s="55"/>
      <c r="C519" s="51"/>
      <c r="D519" s="75"/>
      <c r="E519" s="53"/>
      <c r="H519" s="53"/>
      <c r="J519" s="53"/>
      <c r="M519" s="53"/>
      <c r="AM519" s="49"/>
    </row>
    <row r="520" spans="2:39" ht="25.15" customHeight="1" x14ac:dyDescent="0.25">
      <c r="B520" s="55"/>
      <c r="C520" s="51"/>
      <c r="D520" s="75"/>
      <c r="E520" s="53"/>
      <c r="H520" s="53"/>
      <c r="J520" s="53"/>
      <c r="M520" s="53"/>
      <c r="AM520" s="49"/>
    </row>
    <row r="521" spans="2:39" ht="25.15" customHeight="1" x14ac:dyDescent="0.25">
      <c r="B521" s="55"/>
      <c r="C521" s="51"/>
      <c r="D521" s="75"/>
      <c r="E521" s="53"/>
      <c r="H521" s="53"/>
      <c r="J521" s="53"/>
      <c r="M521" s="53"/>
      <c r="AM521" s="49"/>
    </row>
    <row r="522" spans="2:39" ht="25.15" customHeight="1" x14ac:dyDescent="0.25">
      <c r="B522" s="55"/>
      <c r="C522" s="51"/>
      <c r="D522" s="75"/>
      <c r="E522" s="53"/>
      <c r="H522" s="53"/>
      <c r="J522" s="53"/>
      <c r="M522" s="53"/>
      <c r="AM522" s="49"/>
    </row>
    <row r="523" spans="2:39" ht="25.15" customHeight="1" x14ac:dyDescent="0.25">
      <c r="B523" s="55"/>
      <c r="C523" s="51"/>
      <c r="D523" s="75"/>
      <c r="E523" s="53"/>
      <c r="H523" s="53"/>
      <c r="J523" s="53"/>
      <c r="M523" s="53"/>
      <c r="AM523" s="49"/>
    </row>
    <row r="524" spans="2:39" ht="25.15" customHeight="1" x14ac:dyDescent="0.25">
      <c r="B524" s="55"/>
      <c r="C524" s="51"/>
      <c r="D524" s="75"/>
      <c r="E524" s="53"/>
      <c r="H524" s="53"/>
      <c r="J524" s="53"/>
      <c r="M524" s="53"/>
      <c r="AM524" s="49"/>
    </row>
    <row r="525" spans="2:39" ht="25.15" customHeight="1" x14ac:dyDescent="0.25">
      <c r="B525" s="55"/>
      <c r="C525" s="51"/>
      <c r="D525" s="75"/>
      <c r="E525" s="53"/>
      <c r="H525" s="53"/>
      <c r="J525" s="53"/>
      <c r="M525" s="53"/>
      <c r="AM525" s="49"/>
    </row>
    <row r="526" spans="2:39" ht="25.15" customHeight="1" x14ac:dyDescent="0.25">
      <c r="B526" s="55"/>
      <c r="C526" s="51"/>
      <c r="D526" s="75"/>
      <c r="E526" s="53"/>
      <c r="H526" s="53"/>
      <c r="J526" s="53"/>
      <c r="M526" s="53"/>
      <c r="AM526" s="49"/>
    </row>
    <row r="527" spans="2:39" ht="25.15" customHeight="1" x14ac:dyDescent="0.25">
      <c r="B527" s="55"/>
      <c r="C527" s="51"/>
      <c r="D527" s="75"/>
      <c r="E527" s="53"/>
      <c r="H527" s="53"/>
      <c r="J527" s="53"/>
      <c r="M527" s="53"/>
      <c r="AM527" s="49"/>
    </row>
    <row r="528" spans="2:39" ht="25.15" customHeight="1" x14ac:dyDescent="0.25">
      <c r="B528" s="55"/>
      <c r="C528" s="51"/>
      <c r="D528" s="75"/>
      <c r="E528" s="53"/>
      <c r="H528" s="53"/>
      <c r="J528" s="53"/>
      <c r="M528" s="53"/>
      <c r="AM528" s="49"/>
    </row>
    <row r="529" spans="2:39" ht="25.15" customHeight="1" x14ac:dyDescent="0.25">
      <c r="B529" s="55"/>
      <c r="C529" s="51"/>
      <c r="D529" s="75"/>
      <c r="E529" s="53"/>
      <c r="H529" s="53"/>
      <c r="J529" s="53"/>
      <c r="M529" s="53"/>
      <c r="AM529" s="49"/>
    </row>
    <row r="530" spans="2:39" ht="25.15" customHeight="1" x14ac:dyDescent="0.25">
      <c r="B530" s="55"/>
      <c r="C530" s="51"/>
      <c r="D530" s="75"/>
      <c r="E530" s="53"/>
      <c r="H530" s="53"/>
      <c r="J530" s="53"/>
      <c r="M530" s="53"/>
      <c r="AM530" s="49"/>
    </row>
    <row r="531" spans="2:39" ht="25.15" customHeight="1" x14ac:dyDescent="0.25">
      <c r="B531" s="55"/>
      <c r="C531" s="51"/>
      <c r="D531" s="75"/>
      <c r="E531" s="53"/>
      <c r="H531" s="53"/>
      <c r="J531" s="53"/>
      <c r="M531" s="53"/>
      <c r="AM531" s="49"/>
    </row>
    <row r="532" spans="2:39" ht="25.15" customHeight="1" x14ac:dyDescent="0.25">
      <c r="B532" s="55"/>
      <c r="C532" s="51"/>
      <c r="D532" s="75"/>
      <c r="E532" s="53"/>
      <c r="H532" s="53"/>
      <c r="J532" s="53"/>
      <c r="M532" s="53"/>
      <c r="AM532" s="49"/>
    </row>
    <row r="533" spans="2:39" ht="25.15" customHeight="1" x14ac:dyDescent="0.25">
      <c r="B533" s="55"/>
      <c r="C533" s="51"/>
      <c r="D533" s="75"/>
      <c r="E533" s="53"/>
      <c r="H533" s="53"/>
      <c r="J533" s="53"/>
      <c r="M533" s="53"/>
      <c r="AM533" s="49"/>
    </row>
    <row r="534" spans="2:39" ht="25.15" customHeight="1" x14ac:dyDescent="0.25">
      <c r="B534" s="55"/>
      <c r="C534" s="51"/>
      <c r="D534" s="75"/>
      <c r="E534" s="53"/>
      <c r="H534" s="53"/>
      <c r="J534" s="53"/>
      <c r="M534" s="53"/>
      <c r="AM534" s="49"/>
    </row>
    <row r="535" spans="2:39" ht="25.15" customHeight="1" x14ac:dyDescent="0.25">
      <c r="B535" s="55"/>
      <c r="C535" s="51"/>
      <c r="D535" s="75"/>
      <c r="E535" s="53"/>
      <c r="H535" s="53"/>
      <c r="J535" s="53"/>
      <c r="M535" s="53"/>
      <c r="AM535" s="49"/>
    </row>
    <row r="536" spans="2:39" ht="25.15" customHeight="1" x14ac:dyDescent="0.25">
      <c r="B536" s="55"/>
      <c r="C536" s="51"/>
      <c r="D536" s="75"/>
      <c r="E536" s="53"/>
      <c r="H536" s="53"/>
      <c r="J536" s="53"/>
      <c r="M536" s="53"/>
      <c r="AM536" s="49"/>
    </row>
    <row r="537" spans="2:39" ht="25.15" customHeight="1" x14ac:dyDescent="0.25">
      <c r="B537" s="55"/>
      <c r="C537" s="51"/>
      <c r="D537" s="75"/>
      <c r="E537" s="53"/>
      <c r="H537" s="53"/>
      <c r="J537" s="53"/>
      <c r="M537" s="53"/>
      <c r="AM537" s="49"/>
    </row>
    <row r="538" spans="2:39" ht="25.15" customHeight="1" x14ac:dyDescent="0.25">
      <c r="B538" s="55"/>
      <c r="C538" s="51"/>
      <c r="D538" s="75"/>
      <c r="E538" s="53"/>
      <c r="H538" s="53"/>
      <c r="J538" s="53"/>
      <c r="M538" s="53"/>
      <c r="AM538" s="49"/>
    </row>
    <row r="539" spans="2:39" ht="25.15" customHeight="1" x14ac:dyDescent="0.25">
      <c r="B539" s="55"/>
      <c r="C539" s="51"/>
      <c r="D539" s="75"/>
      <c r="E539" s="53"/>
      <c r="H539" s="53"/>
      <c r="J539" s="53"/>
      <c r="M539" s="53"/>
      <c r="AM539" s="49"/>
    </row>
    <row r="540" spans="2:39" ht="25.15" customHeight="1" x14ac:dyDescent="0.25">
      <c r="B540" s="55"/>
      <c r="C540" s="51"/>
      <c r="D540" s="75"/>
      <c r="E540" s="53"/>
      <c r="H540" s="53"/>
      <c r="J540" s="53"/>
      <c r="M540" s="53"/>
      <c r="AM540" s="49"/>
    </row>
    <row r="541" spans="2:39" ht="25.15" customHeight="1" x14ac:dyDescent="0.25">
      <c r="B541" s="55"/>
      <c r="C541" s="51"/>
      <c r="D541" s="75"/>
      <c r="E541" s="53"/>
      <c r="H541" s="53"/>
      <c r="J541" s="53"/>
      <c r="M541" s="53"/>
      <c r="AM541" s="49"/>
    </row>
    <row r="542" spans="2:39" ht="25.15" customHeight="1" x14ac:dyDescent="0.25">
      <c r="B542" s="55"/>
      <c r="C542" s="51"/>
      <c r="D542" s="75"/>
      <c r="E542" s="53"/>
      <c r="H542" s="53"/>
      <c r="J542" s="53"/>
      <c r="M542" s="53"/>
      <c r="AM542" s="49"/>
    </row>
    <row r="543" spans="2:39" ht="25.15" customHeight="1" x14ac:dyDescent="0.25">
      <c r="B543" s="55"/>
      <c r="C543" s="51"/>
      <c r="D543" s="75"/>
      <c r="E543" s="53"/>
      <c r="H543" s="53"/>
      <c r="J543" s="53"/>
      <c r="M543" s="53"/>
      <c r="AM543" s="49"/>
    </row>
    <row r="544" spans="2:39" ht="25.15" customHeight="1" x14ac:dyDescent="0.25">
      <c r="B544" s="55"/>
      <c r="C544" s="51"/>
      <c r="D544" s="75"/>
      <c r="E544" s="53"/>
      <c r="H544" s="53"/>
      <c r="J544" s="53"/>
      <c r="M544" s="53"/>
      <c r="AM544" s="49"/>
    </row>
    <row r="545" spans="2:39" ht="25.15" customHeight="1" x14ac:dyDescent="0.25">
      <c r="B545" s="55"/>
      <c r="C545" s="51"/>
      <c r="D545" s="75"/>
      <c r="E545" s="53"/>
      <c r="H545" s="53"/>
      <c r="J545" s="53"/>
      <c r="M545" s="53"/>
      <c r="AM545" s="49"/>
    </row>
    <row r="546" spans="2:39" ht="25.15" customHeight="1" x14ac:dyDescent="0.25">
      <c r="B546" s="55"/>
      <c r="C546" s="51"/>
      <c r="D546" s="75"/>
      <c r="E546" s="53"/>
      <c r="H546" s="53"/>
      <c r="J546" s="53"/>
      <c r="M546" s="53"/>
      <c r="AM546" s="49"/>
    </row>
    <row r="547" spans="2:39" ht="25.15" customHeight="1" x14ac:dyDescent="0.25">
      <c r="B547" s="55"/>
      <c r="C547" s="51"/>
      <c r="D547" s="75"/>
      <c r="E547" s="53"/>
      <c r="H547" s="53"/>
      <c r="J547" s="53"/>
      <c r="M547" s="53"/>
      <c r="AM547" s="49"/>
    </row>
    <row r="548" spans="2:39" ht="25.15" customHeight="1" x14ac:dyDescent="0.25">
      <c r="B548" s="55"/>
      <c r="C548" s="51"/>
      <c r="D548" s="75"/>
      <c r="E548" s="53"/>
      <c r="H548" s="53"/>
      <c r="J548" s="53"/>
      <c r="M548" s="53"/>
      <c r="AM548" s="49"/>
    </row>
    <row r="549" spans="2:39" ht="25.15" customHeight="1" x14ac:dyDescent="0.25">
      <c r="B549" s="55"/>
      <c r="C549" s="51"/>
      <c r="D549" s="75"/>
      <c r="E549" s="53"/>
      <c r="H549" s="53"/>
      <c r="J549" s="53"/>
      <c r="M549" s="53"/>
      <c r="AM549" s="49"/>
    </row>
    <row r="550" spans="2:39" ht="25.15" customHeight="1" x14ac:dyDescent="0.25">
      <c r="B550" s="55"/>
      <c r="C550" s="51"/>
      <c r="D550" s="75"/>
      <c r="E550" s="53"/>
      <c r="H550" s="53"/>
      <c r="J550" s="53"/>
      <c r="M550" s="53"/>
      <c r="AM550" s="49"/>
    </row>
    <row r="551" spans="2:39" ht="25.15" customHeight="1" x14ac:dyDescent="0.25">
      <c r="B551" s="55"/>
      <c r="C551" s="51"/>
      <c r="D551" s="75"/>
      <c r="E551" s="53"/>
      <c r="H551" s="53"/>
      <c r="J551" s="53"/>
      <c r="M551" s="53"/>
      <c r="AM551" s="49"/>
    </row>
    <row r="552" spans="2:39" ht="25.15" customHeight="1" x14ac:dyDescent="0.25">
      <c r="B552" s="55"/>
      <c r="C552" s="51"/>
      <c r="D552" s="75"/>
      <c r="E552" s="53"/>
      <c r="H552" s="53"/>
      <c r="J552" s="53"/>
      <c r="M552" s="53"/>
      <c r="AM552" s="49"/>
    </row>
    <row r="553" spans="2:39" ht="25.15" customHeight="1" x14ac:dyDescent="0.25">
      <c r="B553" s="55"/>
      <c r="C553" s="51"/>
      <c r="D553" s="75"/>
      <c r="E553" s="53"/>
      <c r="H553" s="53"/>
      <c r="J553" s="53"/>
      <c r="M553" s="53"/>
      <c r="AM553" s="49"/>
    </row>
    <row r="554" spans="2:39" ht="25.15" customHeight="1" x14ac:dyDescent="0.25">
      <c r="B554" s="55"/>
      <c r="C554" s="51"/>
      <c r="D554" s="75"/>
      <c r="E554" s="53"/>
      <c r="H554" s="53"/>
      <c r="J554" s="53"/>
      <c r="M554" s="53"/>
      <c r="AM554" s="49"/>
    </row>
    <row r="555" spans="2:39" ht="25.15" customHeight="1" x14ac:dyDescent="0.25">
      <c r="B555" s="55"/>
      <c r="C555" s="51"/>
      <c r="D555" s="75"/>
      <c r="E555" s="53"/>
      <c r="H555" s="53"/>
      <c r="J555" s="53"/>
      <c r="M555" s="53"/>
      <c r="AM555" s="49"/>
    </row>
    <row r="556" spans="2:39" ht="25.15" customHeight="1" x14ac:dyDescent="0.25">
      <c r="B556" s="55"/>
      <c r="C556" s="51"/>
      <c r="D556" s="75"/>
      <c r="E556" s="53"/>
      <c r="H556" s="53"/>
      <c r="J556" s="53"/>
      <c r="M556" s="53"/>
      <c r="AM556" s="49"/>
    </row>
    <row r="557" spans="2:39" ht="25.15" customHeight="1" x14ac:dyDescent="0.25">
      <c r="B557" s="55"/>
      <c r="C557" s="51"/>
      <c r="D557" s="75"/>
      <c r="E557" s="53"/>
      <c r="H557" s="53"/>
      <c r="J557" s="53"/>
      <c r="M557" s="53"/>
      <c r="AM557" s="49"/>
    </row>
    <row r="558" spans="2:39" ht="25.15" customHeight="1" x14ac:dyDescent="0.25">
      <c r="B558" s="55"/>
      <c r="C558" s="51"/>
      <c r="D558" s="75"/>
      <c r="E558" s="53"/>
      <c r="H558" s="53"/>
      <c r="J558" s="53"/>
      <c r="M558" s="53"/>
      <c r="AM558" s="49"/>
    </row>
    <row r="559" spans="2:39" ht="25.15" customHeight="1" x14ac:dyDescent="0.25">
      <c r="B559" s="55"/>
      <c r="C559" s="51"/>
      <c r="D559" s="75"/>
      <c r="E559" s="53"/>
      <c r="H559" s="53"/>
      <c r="J559" s="53"/>
      <c r="M559" s="53"/>
      <c r="AM559" s="49"/>
    </row>
    <row r="560" spans="2:39" ht="25.15" customHeight="1" x14ac:dyDescent="0.25">
      <c r="B560" s="55"/>
      <c r="C560" s="51"/>
      <c r="D560" s="75"/>
      <c r="E560" s="53"/>
      <c r="H560" s="53"/>
      <c r="J560" s="53"/>
      <c r="M560" s="53"/>
      <c r="AM560" s="49"/>
    </row>
    <row r="561" spans="2:39" ht="25.15" customHeight="1" x14ac:dyDescent="0.25">
      <c r="B561" s="55"/>
      <c r="C561" s="51"/>
      <c r="D561" s="75"/>
      <c r="E561" s="53"/>
      <c r="H561" s="53"/>
      <c r="J561" s="53"/>
      <c r="M561" s="53"/>
      <c r="AM561" s="49"/>
    </row>
    <row r="562" spans="2:39" ht="25.15" customHeight="1" x14ac:dyDescent="0.25">
      <c r="B562" s="55"/>
      <c r="C562" s="51"/>
      <c r="D562" s="75"/>
      <c r="E562" s="53"/>
      <c r="H562" s="53"/>
      <c r="J562" s="53"/>
      <c r="M562" s="53"/>
      <c r="AM562" s="49"/>
    </row>
    <row r="563" spans="2:39" ht="25.15" customHeight="1" x14ac:dyDescent="0.25">
      <c r="B563" s="55"/>
      <c r="C563" s="51"/>
      <c r="D563" s="75"/>
      <c r="E563" s="53"/>
      <c r="H563" s="53"/>
      <c r="J563" s="53"/>
      <c r="M563" s="53"/>
      <c r="AM563" s="49"/>
    </row>
    <row r="564" spans="2:39" ht="25.15" customHeight="1" x14ac:dyDescent="0.25">
      <c r="B564" s="55"/>
      <c r="C564" s="51"/>
      <c r="D564" s="75"/>
      <c r="E564" s="53"/>
      <c r="H564" s="53"/>
      <c r="J564" s="53"/>
      <c r="M564" s="53"/>
      <c r="AM564" s="49"/>
    </row>
    <row r="565" spans="2:39" ht="25.15" customHeight="1" x14ac:dyDescent="0.25">
      <c r="B565" s="55"/>
      <c r="C565" s="51"/>
      <c r="D565" s="75"/>
      <c r="E565" s="53"/>
      <c r="H565" s="53"/>
      <c r="J565" s="53"/>
      <c r="M565" s="53"/>
      <c r="AM565" s="49"/>
    </row>
    <row r="566" spans="2:39" ht="25.15" customHeight="1" x14ac:dyDescent="0.25">
      <c r="B566" s="55"/>
      <c r="C566" s="51"/>
      <c r="D566" s="75"/>
      <c r="E566" s="53"/>
      <c r="H566" s="53"/>
      <c r="J566" s="53"/>
      <c r="M566" s="53"/>
      <c r="AM566" s="49"/>
    </row>
    <row r="567" spans="2:39" ht="25.15" customHeight="1" x14ac:dyDescent="0.25">
      <c r="B567" s="55"/>
      <c r="C567" s="51"/>
      <c r="D567" s="75"/>
      <c r="E567" s="53"/>
      <c r="H567" s="53"/>
      <c r="J567" s="53"/>
      <c r="M567" s="53"/>
      <c r="AM567" s="49"/>
    </row>
    <row r="568" spans="2:39" ht="25.15" customHeight="1" x14ac:dyDescent="0.25">
      <c r="B568" s="55"/>
      <c r="C568" s="51"/>
      <c r="D568" s="75"/>
      <c r="E568" s="53"/>
      <c r="H568" s="53"/>
      <c r="J568" s="53"/>
      <c r="M568" s="53"/>
      <c r="AM568" s="49"/>
    </row>
    <row r="569" spans="2:39" ht="25.15" customHeight="1" x14ac:dyDescent="0.25">
      <c r="B569" s="55"/>
      <c r="C569" s="51"/>
      <c r="D569" s="75"/>
      <c r="E569" s="53"/>
      <c r="H569" s="53"/>
      <c r="J569" s="53"/>
      <c r="M569" s="53"/>
      <c r="AM569" s="49"/>
    </row>
    <row r="570" spans="2:39" ht="25.15" customHeight="1" x14ac:dyDescent="0.25">
      <c r="B570" s="55"/>
      <c r="C570" s="51"/>
      <c r="D570" s="75"/>
      <c r="E570" s="53"/>
      <c r="H570" s="53"/>
      <c r="J570" s="53"/>
      <c r="M570" s="53"/>
      <c r="AM570" s="49"/>
    </row>
    <row r="571" spans="2:39" ht="25.15" customHeight="1" x14ac:dyDescent="0.25">
      <c r="B571" s="55"/>
      <c r="C571" s="51"/>
      <c r="D571" s="75"/>
      <c r="E571" s="53"/>
      <c r="H571" s="53"/>
      <c r="J571" s="53"/>
      <c r="M571" s="53"/>
      <c r="AM571" s="49"/>
    </row>
    <row r="572" spans="2:39" ht="25.15" customHeight="1" x14ac:dyDescent="0.25">
      <c r="B572" s="55"/>
      <c r="C572" s="51"/>
      <c r="D572" s="75"/>
      <c r="E572" s="53"/>
      <c r="H572" s="53"/>
      <c r="J572" s="53"/>
      <c r="M572" s="53"/>
      <c r="AM572" s="49"/>
    </row>
    <row r="573" spans="2:39" ht="25.15" customHeight="1" x14ac:dyDescent="0.25">
      <c r="B573" s="55"/>
      <c r="C573" s="51"/>
      <c r="D573" s="75"/>
      <c r="E573" s="53"/>
      <c r="H573" s="53"/>
      <c r="J573" s="53"/>
      <c r="M573" s="53"/>
      <c r="AM573" s="49"/>
    </row>
    <row r="574" spans="2:39" ht="25.15" customHeight="1" x14ac:dyDescent="0.25">
      <c r="B574" s="55"/>
      <c r="C574" s="51"/>
      <c r="D574" s="75"/>
      <c r="E574" s="53"/>
      <c r="H574" s="53"/>
      <c r="J574" s="53"/>
      <c r="M574" s="53"/>
      <c r="AM574" s="49"/>
    </row>
    <row r="575" spans="2:39" ht="25.15" customHeight="1" x14ac:dyDescent="0.25">
      <c r="B575" s="55"/>
      <c r="C575" s="51"/>
      <c r="D575" s="75"/>
      <c r="E575" s="53"/>
      <c r="H575" s="53"/>
      <c r="J575" s="53"/>
      <c r="M575" s="53"/>
      <c r="AM575" s="49"/>
    </row>
    <row r="576" spans="2:39" ht="25.15" customHeight="1" x14ac:dyDescent="0.25">
      <c r="B576" s="55"/>
      <c r="C576" s="51"/>
      <c r="D576" s="75"/>
      <c r="E576" s="53"/>
      <c r="H576" s="53"/>
      <c r="J576" s="53"/>
      <c r="M576" s="53"/>
      <c r="AM576" s="49"/>
    </row>
    <row r="577" spans="2:39" ht="25.15" customHeight="1" x14ac:dyDescent="0.25">
      <c r="B577" s="55"/>
      <c r="C577" s="51"/>
      <c r="D577" s="75"/>
      <c r="E577" s="53"/>
      <c r="H577" s="53"/>
      <c r="J577" s="53"/>
      <c r="M577" s="53"/>
      <c r="AM577" s="49"/>
    </row>
    <row r="578" spans="2:39" ht="25.15" customHeight="1" x14ac:dyDescent="0.25">
      <c r="B578" s="55"/>
      <c r="C578" s="51"/>
      <c r="D578" s="75"/>
      <c r="E578" s="53"/>
      <c r="H578" s="53"/>
      <c r="J578" s="53"/>
      <c r="M578" s="53"/>
      <c r="AM578" s="49"/>
    </row>
    <row r="579" spans="2:39" ht="25.15" customHeight="1" x14ac:dyDescent="0.25">
      <c r="B579" s="55"/>
      <c r="C579" s="51"/>
      <c r="D579" s="75"/>
      <c r="E579" s="53"/>
      <c r="H579" s="53"/>
      <c r="J579" s="53"/>
      <c r="M579" s="53"/>
      <c r="AM579" s="49"/>
    </row>
    <row r="580" spans="2:39" ht="25.15" customHeight="1" x14ac:dyDescent="0.25">
      <c r="B580" s="55"/>
      <c r="C580" s="51"/>
      <c r="D580" s="75"/>
      <c r="E580" s="53"/>
      <c r="H580" s="53"/>
      <c r="J580" s="53"/>
      <c r="M580" s="53"/>
      <c r="AM580" s="49"/>
    </row>
    <row r="581" spans="2:39" ht="25.15" customHeight="1" x14ac:dyDescent="0.25">
      <c r="B581" s="55"/>
      <c r="C581" s="51"/>
      <c r="D581" s="75"/>
      <c r="E581" s="53"/>
      <c r="H581" s="53"/>
      <c r="J581" s="53"/>
      <c r="M581" s="53"/>
      <c r="AM581" s="49"/>
    </row>
    <row r="582" spans="2:39" ht="25.15" customHeight="1" x14ac:dyDescent="0.25">
      <c r="B582" s="55"/>
      <c r="C582" s="51"/>
      <c r="D582" s="75"/>
      <c r="E582" s="53"/>
      <c r="H582" s="53"/>
      <c r="J582" s="53"/>
      <c r="M582" s="53"/>
      <c r="AM582" s="49"/>
    </row>
    <row r="583" spans="2:39" ht="25.15" customHeight="1" x14ac:dyDescent="0.25">
      <c r="B583" s="55"/>
      <c r="C583" s="51"/>
      <c r="D583" s="75"/>
      <c r="E583" s="53"/>
      <c r="H583" s="53"/>
      <c r="J583" s="53"/>
      <c r="M583" s="53"/>
      <c r="AM583" s="49"/>
    </row>
    <row r="584" spans="2:39" ht="25.15" customHeight="1" x14ac:dyDescent="0.25">
      <c r="B584" s="55"/>
      <c r="C584" s="51"/>
      <c r="D584" s="75"/>
      <c r="E584" s="53"/>
      <c r="H584" s="53"/>
      <c r="J584" s="53"/>
      <c r="M584" s="53"/>
      <c r="AM584" s="49"/>
    </row>
    <row r="585" spans="2:39" ht="25.15" customHeight="1" x14ac:dyDescent="0.25">
      <c r="B585" s="55"/>
      <c r="C585" s="51"/>
      <c r="D585" s="75"/>
      <c r="E585" s="53"/>
      <c r="H585" s="53"/>
      <c r="J585" s="53"/>
      <c r="M585" s="53"/>
      <c r="AM585" s="49"/>
    </row>
    <row r="586" spans="2:39" ht="25.15" customHeight="1" x14ac:dyDescent="0.25">
      <c r="B586" s="55"/>
      <c r="C586" s="51"/>
      <c r="D586" s="75"/>
      <c r="E586" s="53"/>
      <c r="H586" s="53"/>
      <c r="J586" s="53"/>
      <c r="M586" s="53"/>
      <c r="AM586" s="49"/>
    </row>
    <row r="587" spans="2:39" ht="25.15" customHeight="1" x14ac:dyDescent="0.25">
      <c r="B587" s="55"/>
      <c r="C587" s="51"/>
      <c r="D587" s="75"/>
      <c r="E587" s="53"/>
      <c r="H587" s="53"/>
      <c r="J587" s="53"/>
      <c r="M587" s="53"/>
      <c r="AM587" s="49"/>
    </row>
    <row r="588" spans="2:39" ht="25.15" customHeight="1" x14ac:dyDescent="0.25">
      <c r="B588" s="55"/>
      <c r="C588" s="51"/>
      <c r="D588" s="75"/>
      <c r="E588" s="53"/>
      <c r="H588" s="53"/>
      <c r="J588" s="53"/>
      <c r="M588" s="53"/>
      <c r="AM588" s="49"/>
    </row>
    <row r="589" spans="2:39" ht="25.15" customHeight="1" x14ac:dyDescent="0.25">
      <c r="B589" s="55"/>
      <c r="C589" s="51"/>
      <c r="D589" s="75"/>
      <c r="E589" s="53"/>
      <c r="H589" s="53"/>
      <c r="J589" s="53"/>
      <c r="M589" s="53"/>
      <c r="AM589" s="49"/>
    </row>
    <row r="590" spans="2:39" ht="25.15" customHeight="1" x14ac:dyDescent="0.25">
      <c r="B590" s="55"/>
      <c r="C590" s="51"/>
      <c r="D590" s="75"/>
      <c r="E590" s="53"/>
      <c r="H590" s="53"/>
      <c r="J590" s="53"/>
      <c r="M590" s="53"/>
      <c r="AM590" s="49"/>
    </row>
    <row r="591" spans="2:39" ht="25.15" customHeight="1" x14ac:dyDescent="0.25">
      <c r="B591" s="55"/>
      <c r="C591" s="51"/>
      <c r="D591" s="75"/>
      <c r="E591" s="53"/>
      <c r="H591" s="53"/>
      <c r="J591" s="53"/>
      <c r="M591" s="53"/>
      <c r="AM591" s="49"/>
    </row>
    <row r="592" spans="2:39" ht="25.15" customHeight="1" x14ac:dyDescent="0.25">
      <c r="B592" s="55"/>
      <c r="C592" s="51"/>
      <c r="D592" s="75"/>
      <c r="E592" s="53"/>
      <c r="H592" s="53"/>
      <c r="J592" s="53"/>
      <c r="M592" s="53"/>
      <c r="AM592" s="49"/>
    </row>
    <row r="593" spans="2:39" ht="25.15" customHeight="1" x14ac:dyDescent="0.25">
      <c r="B593" s="55"/>
      <c r="C593" s="51"/>
      <c r="D593" s="75"/>
      <c r="E593" s="53"/>
      <c r="H593" s="53"/>
      <c r="J593" s="53"/>
      <c r="M593" s="53"/>
      <c r="AM593" s="49"/>
    </row>
    <row r="594" spans="2:39" ht="25.15" customHeight="1" x14ac:dyDescent="0.25">
      <c r="B594" s="55"/>
      <c r="C594" s="51"/>
      <c r="D594" s="75"/>
      <c r="E594" s="53"/>
      <c r="H594" s="53"/>
      <c r="J594" s="53"/>
      <c r="M594" s="53"/>
      <c r="AM594" s="49"/>
    </row>
    <row r="595" spans="2:39" ht="25.15" customHeight="1" x14ac:dyDescent="0.25">
      <c r="B595" s="55"/>
      <c r="C595" s="51"/>
      <c r="D595" s="75"/>
      <c r="E595" s="53"/>
      <c r="H595" s="53"/>
      <c r="J595" s="53"/>
      <c r="M595" s="53"/>
      <c r="AM595" s="49"/>
    </row>
    <row r="596" spans="2:39" ht="25.15" customHeight="1" x14ac:dyDescent="0.25">
      <c r="B596" s="55"/>
      <c r="C596" s="51"/>
      <c r="D596" s="75"/>
      <c r="E596" s="53"/>
      <c r="H596" s="53"/>
      <c r="J596" s="53"/>
      <c r="M596" s="53"/>
      <c r="AM596" s="49"/>
    </row>
    <row r="597" spans="2:39" ht="25.15" customHeight="1" x14ac:dyDescent="0.25">
      <c r="B597" s="55"/>
      <c r="C597" s="51"/>
      <c r="D597" s="75"/>
      <c r="E597" s="53"/>
      <c r="H597" s="53"/>
      <c r="J597" s="53"/>
      <c r="M597" s="53"/>
      <c r="AM597" s="49"/>
    </row>
    <row r="598" spans="2:39" ht="25.15" customHeight="1" x14ac:dyDescent="0.25">
      <c r="B598" s="55"/>
      <c r="C598" s="51"/>
      <c r="D598" s="75"/>
      <c r="E598" s="53"/>
      <c r="H598" s="53"/>
      <c r="J598" s="53"/>
      <c r="M598" s="53"/>
      <c r="AM598" s="49"/>
    </row>
    <row r="599" spans="2:39" ht="25.15" customHeight="1" x14ac:dyDescent="0.25">
      <c r="B599" s="55"/>
      <c r="C599" s="51"/>
      <c r="D599" s="75"/>
      <c r="E599" s="53"/>
      <c r="H599" s="53"/>
      <c r="J599" s="53"/>
      <c r="M599" s="53"/>
      <c r="AM599" s="49"/>
    </row>
    <row r="600" spans="2:39" ht="25.15" customHeight="1" x14ac:dyDescent="0.25">
      <c r="B600" s="55"/>
      <c r="C600" s="51"/>
      <c r="D600" s="75"/>
      <c r="E600" s="53"/>
      <c r="H600" s="53"/>
      <c r="J600" s="53"/>
      <c r="M600" s="53"/>
      <c r="AM600" s="49"/>
    </row>
    <row r="601" spans="2:39" ht="25.15" customHeight="1" x14ac:dyDescent="0.25">
      <c r="B601" s="55"/>
      <c r="C601" s="51"/>
      <c r="D601" s="75"/>
      <c r="E601" s="53"/>
      <c r="H601" s="53"/>
      <c r="J601" s="53"/>
      <c r="M601" s="53"/>
      <c r="AM601" s="49"/>
    </row>
    <row r="602" spans="2:39" ht="25.15" customHeight="1" x14ac:dyDescent="0.25">
      <c r="B602" s="55"/>
      <c r="C602" s="51"/>
      <c r="D602" s="75"/>
      <c r="E602" s="53"/>
      <c r="H602" s="53"/>
      <c r="J602" s="53"/>
      <c r="M602" s="53"/>
      <c r="AM602" s="49"/>
    </row>
    <row r="603" spans="2:39" ht="25.15" customHeight="1" x14ac:dyDescent="0.25">
      <c r="B603" s="55"/>
      <c r="C603" s="51"/>
      <c r="D603" s="75"/>
      <c r="E603" s="53"/>
      <c r="H603" s="53"/>
      <c r="J603" s="53"/>
      <c r="M603" s="53"/>
      <c r="AM603" s="49"/>
    </row>
    <row r="604" spans="2:39" ht="25.15" customHeight="1" x14ac:dyDescent="0.25">
      <c r="B604" s="55"/>
      <c r="C604" s="51"/>
      <c r="D604" s="75"/>
      <c r="E604" s="53"/>
      <c r="H604" s="53"/>
      <c r="J604" s="53"/>
      <c r="M604" s="53"/>
      <c r="AM604" s="49"/>
    </row>
    <row r="605" spans="2:39" ht="25.15" customHeight="1" x14ac:dyDescent="0.25">
      <c r="B605" s="55"/>
      <c r="C605" s="51"/>
      <c r="D605" s="75"/>
      <c r="E605" s="53"/>
      <c r="H605" s="53"/>
      <c r="J605" s="53"/>
      <c r="M605" s="53"/>
      <c r="AM605" s="49"/>
    </row>
    <row r="606" spans="2:39" ht="25.15" customHeight="1" x14ac:dyDescent="0.25">
      <c r="B606" s="55"/>
      <c r="C606" s="51"/>
      <c r="D606" s="75"/>
      <c r="E606" s="53"/>
      <c r="H606" s="53"/>
      <c r="J606" s="53"/>
      <c r="M606" s="53"/>
      <c r="AM606" s="49"/>
    </row>
    <row r="607" spans="2:39" ht="25.15" customHeight="1" x14ac:dyDescent="0.25">
      <c r="B607" s="55"/>
      <c r="C607" s="51"/>
      <c r="D607" s="75"/>
      <c r="E607" s="53"/>
      <c r="H607" s="53"/>
      <c r="J607" s="53"/>
      <c r="M607" s="53"/>
      <c r="AM607" s="49"/>
    </row>
    <row r="608" spans="2:39" ht="25.15" customHeight="1" x14ac:dyDescent="0.25">
      <c r="B608" s="55"/>
      <c r="C608" s="51"/>
      <c r="D608" s="75"/>
      <c r="E608" s="53"/>
      <c r="H608" s="53"/>
      <c r="J608" s="53"/>
      <c r="M608" s="53"/>
      <c r="AM608" s="49"/>
    </row>
    <row r="609" spans="2:39" ht="25.15" customHeight="1" x14ac:dyDescent="0.25">
      <c r="B609" s="55"/>
      <c r="C609" s="51"/>
      <c r="D609" s="75"/>
      <c r="E609" s="53"/>
      <c r="H609" s="53"/>
      <c r="J609" s="53"/>
      <c r="M609" s="53"/>
      <c r="AM609" s="49"/>
    </row>
    <row r="610" spans="2:39" ht="25.15" customHeight="1" x14ac:dyDescent="0.25">
      <c r="B610" s="55"/>
      <c r="C610" s="51"/>
      <c r="D610" s="75"/>
      <c r="E610" s="53"/>
      <c r="H610" s="53"/>
      <c r="J610" s="53"/>
      <c r="M610" s="53"/>
      <c r="AM610" s="49"/>
    </row>
    <row r="611" spans="2:39" ht="25.15" customHeight="1" x14ac:dyDescent="0.25">
      <c r="B611" s="55"/>
      <c r="C611" s="51"/>
      <c r="D611" s="75"/>
      <c r="E611" s="53"/>
      <c r="H611" s="53"/>
      <c r="J611" s="53"/>
      <c r="M611" s="53"/>
      <c r="AM611" s="49"/>
    </row>
    <row r="612" spans="2:39" ht="25.15" customHeight="1" x14ac:dyDescent="0.25">
      <c r="B612" s="55"/>
      <c r="C612" s="51"/>
      <c r="D612" s="75"/>
      <c r="E612" s="53"/>
      <c r="H612" s="53"/>
      <c r="J612" s="53"/>
      <c r="M612" s="53"/>
      <c r="AM612" s="49"/>
    </row>
    <row r="613" spans="2:39" ht="25.15" customHeight="1" x14ac:dyDescent="0.25">
      <c r="B613" s="55"/>
      <c r="C613" s="51"/>
      <c r="D613" s="75"/>
      <c r="E613" s="53"/>
      <c r="H613" s="53"/>
      <c r="J613" s="53"/>
      <c r="M613" s="53"/>
      <c r="AM613" s="49"/>
    </row>
    <row r="614" spans="2:39" ht="25.15" customHeight="1" x14ac:dyDescent="0.25">
      <c r="B614" s="55"/>
      <c r="C614" s="51"/>
      <c r="D614" s="75"/>
      <c r="E614" s="53"/>
      <c r="H614" s="53"/>
      <c r="J614" s="53"/>
      <c r="M614" s="53"/>
      <c r="AM614" s="49"/>
    </row>
    <row r="615" spans="2:39" ht="25.15" customHeight="1" x14ac:dyDescent="0.25">
      <c r="B615" s="55"/>
      <c r="C615" s="51"/>
      <c r="D615" s="75"/>
      <c r="E615" s="53"/>
      <c r="H615" s="53"/>
      <c r="J615" s="53"/>
      <c r="M615" s="53"/>
      <c r="AM615" s="49"/>
    </row>
    <row r="616" spans="2:39" ht="25.15" customHeight="1" x14ac:dyDescent="0.25">
      <c r="B616" s="55"/>
      <c r="C616" s="51"/>
      <c r="D616" s="75"/>
      <c r="E616" s="53"/>
      <c r="H616" s="53"/>
      <c r="J616" s="53"/>
      <c r="M616" s="53"/>
      <c r="AM616" s="49"/>
    </row>
    <row r="617" spans="2:39" ht="25.15" customHeight="1" x14ac:dyDescent="0.25">
      <c r="B617" s="55"/>
      <c r="C617" s="51"/>
      <c r="D617" s="75"/>
      <c r="E617" s="53"/>
      <c r="H617" s="53"/>
      <c r="J617" s="53"/>
      <c r="M617" s="53"/>
      <c r="AM617" s="49"/>
    </row>
    <row r="618" spans="2:39" ht="25.15" customHeight="1" x14ac:dyDescent="0.25">
      <c r="B618" s="55"/>
      <c r="C618" s="51"/>
      <c r="D618" s="75"/>
      <c r="E618" s="53"/>
      <c r="H618" s="53"/>
      <c r="J618" s="53"/>
      <c r="M618" s="53"/>
      <c r="AM618" s="49"/>
    </row>
    <row r="619" spans="2:39" ht="25.15" customHeight="1" x14ac:dyDescent="0.25">
      <c r="B619" s="55"/>
      <c r="C619" s="51"/>
      <c r="D619" s="75"/>
      <c r="E619" s="53"/>
      <c r="H619" s="53"/>
      <c r="J619" s="53"/>
      <c r="M619" s="53"/>
      <c r="AM619" s="49"/>
    </row>
    <row r="620" spans="2:39" ht="25.15" customHeight="1" x14ac:dyDescent="0.25">
      <c r="B620" s="55"/>
      <c r="C620" s="51"/>
      <c r="D620" s="75"/>
      <c r="E620" s="53"/>
      <c r="H620" s="53"/>
      <c r="J620" s="53"/>
      <c r="M620" s="53"/>
      <c r="AM620" s="49"/>
    </row>
    <row r="621" spans="2:39" ht="25.15" customHeight="1" x14ac:dyDescent="0.25">
      <c r="B621" s="55"/>
      <c r="C621" s="51"/>
      <c r="D621" s="75"/>
      <c r="E621" s="53"/>
      <c r="H621" s="53"/>
      <c r="J621" s="53"/>
      <c r="M621" s="53"/>
      <c r="AM621" s="49"/>
    </row>
    <row r="622" spans="2:39" ht="25.15" customHeight="1" x14ac:dyDescent="0.25">
      <c r="B622" s="55"/>
      <c r="C622" s="51"/>
      <c r="D622" s="75"/>
      <c r="E622" s="53"/>
      <c r="H622" s="53"/>
      <c r="J622" s="53"/>
      <c r="M622" s="53"/>
      <c r="AM622" s="49"/>
    </row>
    <row r="623" spans="2:39" ht="25.15" customHeight="1" x14ac:dyDescent="0.25">
      <c r="B623" s="55"/>
      <c r="C623" s="51"/>
      <c r="D623" s="75"/>
      <c r="E623" s="53"/>
      <c r="H623" s="53"/>
      <c r="J623" s="53"/>
      <c r="M623" s="53"/>
      <c r="AM623" s="49"/>
    </row>
    <row r="624" spans="2:39" ht="25.15" customHeight="1" x14ac:dyDescent="0.25">
      <c r="B624" s="55"/>
      <c r="C624" s="51"/>
      <c r="D624" s="75"/>
      <c r="E624" s="53"/>
      <c r="H624" s="53"/>
      <c r="J624" s="53"/>
      <c r="M624" s="53"/>
      <c r="AM624" s="49"/>
    </row>
    <row r="625" spans="2:39" ht="25.15" customHeight="1" x14ac:dyDescent="0.25">
      <c r="B625" s="55"/>
      <c r="C625" s="51"/>
      <c r="D625" s="75"/>
      <c r="E625" s="53"/>
      <c r="H625" s="53"/>
      <c r="J625" s="53"/>
      <c r="M625" s="53"/>
      <c r="AM625" s="49"/>
    </row>
    <row r="626" spans="2:39" ht="25.15" customHeight="1" x14ac:dyDescent="0.25">
      <c r="B626" s="55"/>
      <c r="C626" s="51"/>
      <c r="D626" s="75"/>
      <c r="E626" s="53"/>
      <c r="H626" s="53"/>
      <c r="J626" s="53"/>
      <c r="M626" s="53"/>
      <c r="AM626" s="49"/>
    </row>
    <row r="627" spans="2:39" ht="25.15" customHeight="1" x14ac:dyDescent="0.25">
      <c r="B627" s="55"/>
      <c r="C627" s="51"/>
      <c r="D627" s="75"/>
      <c r="E627" s="53"/>
      <c r="H627" s="53"/>
      <c r="J627" s="53"/>
      <c r="M627" s="53"/>
      <c r="AM627" s="49"/>
    </row>
    <row r="628" spans="2:39" ht="25.15" customHeight="1" x14ac:dyDescent="0.25">
      <c r="B628" s="55"/>
      <c r="C628" s="51"/>
      <c r="D628" s="75"/>
      <c r="E628" s="53"/>
      <c r="H628" s="53"/>
      <c r="J628" s="53"/>
      <c r="M628" s="53"/>
      <c r="AM628" s="49"/>
    </row>
    <row r="629" spans="2:39" ht="25.15" customHeight="1" x14ac:dyDescent="0.25">
      <c r="B629" s="55"/>
      <c r="C629" s="51"/>
      <c r="D629" s="75"/>
      <c r="E629" s="53"/>
      <c r="H629" s="53"/>
      <c r="J629" s="53"/>
      <c r="M629" s="53"/>
      <c r="AM629" s="49"/>
    </row>
    <row r="630" spans="2:39" ht="25.15" customHeight="1" x14ac:dyDescent="0.25">
      <c r="B630" s="55"/>
      <c r="C630" s="51"/>
      <c r="D630" s="75"/>
      <c r="E630" s="53"/>
      <c r="H630" s="53"/>
      <c r="J630" s="53"/>
      <c r="M630" s="53"/>
      <c r="AM630" s="49"/>
    </row>
    <row r="631" spans="2:39" ht="25.15" customHeight="1" x14ac:dyDescent="0.25">
      <c r="B631" s="55"/>
      <c r="C631" s="51"/>
      <c r="D631" s="75"/>
      <c r="E631" s="53"/>
      <c r="H631" s="53"/>
      <c r="J631" s="53"/>
      <c r="M631" s="53"/>
      <c r="AM631" s="49"/>
    </row>
    <row r="632" spans="2:39" ht="25.15" customHeight="1" x14ac:dyDescent="0.25">
      <c r="B632" s="55"/>
      <c r="C632" s="51"/>
      <c r="D632" s="75"/>
      <c r="E632" s="53"/>
      <c r="H632" s="53"/>
      <c r="J632" s="53"/>
      <c r="M632" s="53"/>
      <c r="AM632" s="49"/>
    </row>
    <row r="633" spans="2:39" ht="25.15" customHeight="1" x14ac:dyDescent="0.25">
      <c r="B633" s="55"/>
      <c r="C633" s="51"/>
      <c r="D633" s="75"/>
      <c r="E633" s="53"/>
      <c r="H633" s="53"/>
      <c r="J633" s="53"/>
      <c r="M633" s="53"/>
      <c r="AM633" s="49"/>
    </row>
    <row r="634" spans="2:39" ht="25.15" customHeight="1" x14ac:dyDescent="0.25">
      <c r="B634" s="55"/>
      <c r="C634" s="51"/>
      <c r="D634" s="75"/>
      <c r="E634" s="53"/>
      <c r="H634" s="53"/>
      <c r="J634" s="53"/>
      <c r="M634" s="53"/>
      <c r="AM634" s="49"/>
    </row>
    <row r="635" spans="2:39" ht="25.15" customHeight="1" x14ac:dyDescent="0.25">
      <c r="B635" s="55"/>
      <c r="C635" s="51"/>
      <c r="D635" s="75"/>
      <c r="E635" s="53"/>
      <c r="H635" s="53"/>
      <c r="J635" s="53"/>
      <c r="M635" s="53"/>
      <c r="AM635" s="49"/>
    </row>
    <row r="636" spans="2:39" ht="25.15" customHeight="1" x14ac:dyDescent="0.25">
      <c r="B636" s="55"/>
      <c r="C636" s="51"/>
      <c r="D636" s="75"/>
      <c r="E636" s="53"/>
      <c r="H636" s="53"/>
      <c r="J636" s="53"/>
      <c r="M636" s="53"/>
      <c r="AM636" s="49"/>
    </row>
    <row r="637" spans="2:39" ht="25.15" customHeight="1" x14ac:dyDescent="0.25">
      <c r="B637" s="55"/>
      <c r="C637" s="51"/>
      <c r="D637" s="75"/>
      <c r="E637" s="53"/>
      <c r="H637" s="53"/>
      <c r="J637" s="53"/>
      <c r="M637" s="53"/>
      <c r="AM637" s="49"/>
    </row>
    <row r="638" spans="2:39" ht="25.15" customHeight="1" x14ac:dyDescent="0.25">
      <c r="B638" s="55"/>
      <c r="C638" s="51"/>
      <c r="D638" s="75"/>
      <c r="E638" s="53"/>
      <c r="H638" s="53"/>
      <c r="J638" s="53"/>
      <c r="M638" s="53"/>
      <c r="AM638" s="49"/>
    </row>
    <row r="639" spans="2:39" ht="25.15" customHeight="1" x14ac:dyDescent="0.25">
      <c r="B639" s="55"/>
      <c r="C639" s="51"/>
      <c r="D639" s="75"/>
      <c r="E639" s="53"/>
      <c r="H639" s="53"/>
      <c r="J639" s="53"/>
      <c r="M639" s="53"/>
      <c r="AM639" s="49"/>
    </row>
    <row r="640" spans="2:39" ht="25.15" customHeight="1" x14ac:dyDescent="0.25">
      <c r="B640" s="55"/>
      <c r="C640" s="51"/>
      <c r="D640" s="75"/>
      <c r="E640" s="53"/>
      <c r="H640" s="53"/>
      <c r="J640" s="53"/>
      <c r="M640" s="53"/>
      <c r="AM640" s="49"/>
    </row>
    <row r="641" spans="2:39" ht="25.15" customHeight="1" x14ac:dyDescent="0.25">
      <c r="B641" s="55"/>
      <c r="C641" s="51"/>
      <c r="D641" s="75"/>
      <c r="E641" s="53"/>
      <c r="H641" s="53"/>
      <c r="J641" s="53"/>
      <c r="M641" s="53"/>
      <c r="AM641" s="49"/>
    </row>
    <row r="642" spans="2:39" ht="25.15" customHeight="1" x14ac:dyDescent="0.25">
      <c r="B642" s="55"/>
      <c r="C642" s="51"/>
      <c r="D642" s="75"/>
      <c r="E642" s="53"/>
      <c r="H642" s="53"/>
      <c r="J642" s="53"/>
      <c r="M642" s="53"/>
      <c r="AM642" s="49"/>
    </row>
    <row r="643" spans="2:39" ht="25.15" customHeight="1" x14ac:dyDescent="0.25">
      <c r="B643" s="55"/>
      <c r="C643" s="51"/>
      <c r="D643" s="75"/>
      <c r="E643" s="53"/>
      <c r="H643" s="53"/>
      <c r="J643" s="53"/>
      <c r="M643" s="53"/>
      <c r="AM643" s="49"/>
    </row>
    <row r="644" spans="2:39" ht="25.15" customHeight="1" x14ac:dyDescent="0.25">
      <c r="B644" s="55"/>
      <c r="C644" s="51"/>
      <c r="D644" s="75"/>
      <c r="E644" s="53"/>
      <c r="H644" s="53"/>
      <c r="J644" s="53"/>
      <c r="M644" s="53"/>
      <c r="AM644" s="49"/>
    </row>
    <row r="645" spans="2:39" ht="25.15" customHeight="1" x14ac:dyDescent="0.25">
      <c r="B645" s="55"/>
      <c r="C645" s="51"/>
      <c r="D645" s="75"/>
      <c r="E645" s="53"/>
      <c r="H645" s="53"/>
      <c r="J645" s="53"/>
      <c r="M645" s="53"/>
      <c r="AM645" s="49"/>
    </row>
    <row r="646" spans="2:39" ht="25.15" customHeight="1" x14ac:dyDescent="0.25">
      <c r="B646" s="55"/>
      <c r="C646" s="51"/>
      <c r="D646" s="75"/>
      <c r="E646" s="53"/>
      <c r="H646" s="53"/>
      <c r="J646" s="53"/>
      <c r="M646" s="53"/>
      <c r="AM646" s="49"/>
    </row>
    <row r="647" spans="2:39" ht="25.15" customHeight="1" x14ac:dyDescent="0.25">
      <c r="B647" s="55"/>
      <c r="C647" s="51"/>
      <c r="D647" s="75"/>
      <c r="E647" s="53"/>
      <c r="H647" s="53"/>
      <c r="J647" s="53"/>
      <c r="M647" s="53"/>
      <c r="AM647" s="49"/>
    </row>
    <row r="648" spans="2:39" ht="25.15" customHeight="1" x14ac:dyDescent="0.25">
      <c r="B648" s="55"/>
      <c r="C648" s="51"/>
      <c r="D648" s="75"/>
      <c r="E648" s="53"/>
      <c r="H648" s="53"/>
      <c r="J648" s="53"/>
      <c r="M648" s="53"/>
      <c r="AM648" s="49"/>
    </row>
    <row r="649" spans="2:39" ht="25.15" customHeight="1" x14ac:dyDescent="0.25">
      <c r="B649" s="55"/>
      <c r="C649" s="51"/>
      <c r="D649" s="75"/>
      <c r="E649" s="53"/>
      <c r="H649" s="53"/>
      <c r="J649" s="53"/>
      <c r="M649" s="53"/>
      <c r="AM649" s="49"/>
    </row>
    <row r="650" spans="2:39" ht="25.15" customHeight="1" x14ac:dyDescent="0.25">
      <c r="B650" s="55"/>
      <c r="C650" s="51"/>
      <c r="D650" s="75"/>
      <c r="E650" s="53"/>
      <c r="H650" s="53"/>
      <c r="J650" s="53"/>
      <c r="M650" s="53"/>
      <c r="AM650" s="49"/>
    </row>
    <row r="651" spans="2:39" ht="25.15" customHeight="1" x14ac:dyDescent="0.25">
      <c r="B651" s="55"/>
      <c r="C651" s="51"/>
      <c r="D651" s="75"/>
      <c r="E651" s="53"/>
      <c r="H651" s="53"/>
      <c r="J651" s="53"/>
      <c r="M651" s="53"/>
      <c r="AM651" s="49"/>
    </row>
    <row r="652" spans="2:39" ht="25.15" customHeight="1" x14ac:dyDescent="0.25">
      <c r="B652" s="55"/>
      <c r="C652" s="51"/>
      <c r="D652" s="75"/>
      <c r="E652" s="53"/>
      <c r="H652" s="53"/>
      <c r="J652" s="53"/>
      <c r="M652" s="53"/>
      <c r="AM652" s="49"/>
    </row>
    <row r="653" spans="2:39" ht="25.15" customHeight="1" x14ac:dyDescent="0.25">
      <c r="B653" s="55"/>
      <c r="C653" s="51"/>
      <c r="D653" s="75"/>
      <c r="E653" s="53"/>
      <c r="H653" s="53"/>
      <c r="J653" s="53"/>
      <c r="M653" s="53"/>
      <c r="AM653" s="49"/>
    </row>
    <row r="654" spans="2:39" ht="25.15" customHeight="1" x14ac:dyDescent="0.25">
      <c r="B654" s="55"/>
      <c r="C654" s="51"/>
      <c r="D654" s="75"/>
      <c r="E654" s="53"/>
      <c r="H654" s="53"/>
      <c r="J654" s="53"/>
      <c r="M654" s="53"/>
      <c r="AM654" s="49"/>
    </row>
    <row r="655" spans="2:39" ht="25.15" customHeight="1" x14ac:dyDescent="0.25">
      <c r="B655" s="55"/>
      <c r="C655" s="51"/>
      <c r="D655" s="75"/>
      <c r="E655" s="53"/>
      <c r="H655" s="53"/>
      <c r="J655" s="53"/>
      <c r="M655" s="53"/>
      <c r="AM655" s="49"/>
    </row>
    <row r="656" spans="2:39" ht="25.15" customHeight="1" x14ac:dyDescent="0.25">
      <c r="B656" s="55"/>
      <c r="C656" s="51"/>
      <c r="D656" s="75"/>
      <c r="E656" s="53"/>
      <c r="H656" s="53"/>
      <c r="J656" s="53"/>
      <c r="M656" s="53"/>
      <c r="AM656" s="49"/>
    </row>
    <row r="657" spans="2:39" ht="25.15" customHeight="1" x14ac:dyDescent="0.25">
      <c r="B657" s="55"/>
      <c r="C657" s="51"/>
      <c r="D657" s="75"/>
      <c r="E657" s="53"/>
      <c r="H657" s="53"/>
      <c r="J657" s="53"/>
      <c r="M657" s="53"/>
      <c r="AM657" s="49"/>
    </row>
    <row r="658" spans="2:39" ht="25.15" customHeight="1" x14ac:dyDescent="0.25">
      <c r="B658" s="55"/>
      <c r="C658" s="51"/>
      <c r="D658" s="75"/>
      <c r="E658" s="53"/>
      <c r="H658" s="53"/>
      <c r="J658" s="53"/>
      <c r="M658" s="53"/>
      <c r="AM658" s="49"/>
    </row>
    <row r="659" spans="2:39" ht="25.15" customHeight="1" x14ac:dyDescent="0.25">
      <c r="B659" s="55"/>
      <c r="C659" s="51"/>
      <c r="D659" s="75"/>
      <c r="E659" s="53"/>
      <c r="H659" s="53"/>
      <c r="J659" s="53"/>
      <c r="M659" s="53"/>
      <c r="AM659" s="49"/>
    </row>
    <row r="660" spans="2:39" ht="25.15" customHeight="1" x14ac:dyDescent="0.25">
      <c r="B660" s="55"/>
      <c r="C660" s="51"/>
      <c r="D660" s="75"/>
      <c r="E660" s="53"/>
      <c r="H660" s="53"/>
      <c r="J660" s="53"/>
      <c r="M660" s="53"/>
      <c r="AM660" s="49"/>
    </row>
    <row r="661" spans="2:39" ht="25.15" customHeight="1" x14ac:dyDescent="0.25">
      <c r="B661" s="55"/>
      <c r="C661" s="51"/>
      <c r="D661" s="75"/>
      <c r="E661" s="53"/>
      <c r="H661" s="53"/>
      <c r="J661" s="53"/>
      <c r="M661" s="53"/>
      <c r="AM661" s="49"/>
    </row>
    <row r="662" spans="2:39" ht="25.15" customHeight="1" x14ac:dyDescent="0.25">
      <c r="B662" s="55"/>
      <c r="C662" s="51"/>
      <c r="D662" s="75"/>
      <c r="E662" s="53"/>
      <c r="H662" s="53"/>
      <c r="J662" s="53"/>
      <c r="M662" s="53"/>
      <c r="AM662" s="49"/>
    </row>
    <row r="663" spans="2:39" ht="25.15" customHeight="1" x14ac:dyDescent="0.25">
      <c r="B663" s="55"/>
      <c r="C663" s="51"/>
      <c r="D663" s="75"/>
      <c r="E663" s="53"/>
      <c r="H663" s="53"/>
      <c r="J663" s="53"/>
      <c r="M663" s="53"/>
      <c r="AM663" s="49"/>
    </row>
    <row r="664" spans="2:39" ht="25.15" customHeight="1" x14ac:dyDescent="0.25">
      <c r="B664" s="55"/>
      <c r="C664" s="51"/>
      <c r="D664" s="75"/>
      <c r="E664" s="53"/>
      <c r="H664" s="53"/>
      <c r="J664" s="53"/>
      <c r="M664" s="53"/>
      <c r="AM664" s="49"/>
    </row>
    <row r="665" spans="2:39" ht="25.15" customHeight="1" x14ac:dyDescent="0.25">
      <c r="B665" s="55"/>
      <c r="C665" s="51"/>
      <c r="D665" s="75"/>
      <c r="E665" s="53"/>
      <c r="H665" s="53"/>
      <c r="J665" s="53"/>
      <c r="M665" s="53"/>
      <c r="AM665" s="49"/>
    </row>
    <row r="666" spans="2:39" ht="25.15" customHeight="1" x14ac:dyDescent="0.25">
      <c r="B666" s="55"/>
      <c r="C666" s="51"/>
      <c r="D666" s="75"/>
      <c r="E666" s="53"/>
      <c r="H666" s="53"/>
      <c r="J666" s="53"/>
      <c r="M666" s="53"/>
      <c r="AM666" s="49"/>
    </row>
    <row r="667" spans="2:39" ht="25.15" customHeight="1" x14ac:dyDescent="0.25">
      <c r="B667" s="55"/>
      <c r="C667" s="51"/>
      <c r="D667" s="75"/>
      <c r="E667" s="53"/>
      <c r="H667" s="53"/>
      <c r="J667" s="53"/>
      <c r="M667" s="53"/>
      <c r="AM667" s="49"/>
    </row>
    <row r="668" spans="2:39" ht="25.15" customHeight="1" x14ac:dyDescent="0.25">
      <c r="B668" s="55"/>
      <c r="C668" s="51"/>
      <c r="D668" s="75"/>
      <c r="E668" s="53"/>
      <c r="H668" s="53"/>
      <c r="J668" s="53"/>
      <c r="M668" s="53"/>
      <c r="AM668" s="49"/>
    </row>
    <row r="669" spans="2:39" ht="25.15" customHeight="1" x14ac:dyDescent="0.25">
      <c r="B669" s="55"/>
      <c r="C669" s="51"/>
      <c r="D669" s="75"/>
      <c r="E669" s="53"/>
      <c r="H669" s="53"/>
      <c r="J669" s="53"/>
      <c r="M669" s="53"/>
      <c r="AM669" s="49"/>
    </row>
    <row r="670" spans="2:39" ht="25.15" customHeight="1" x14ac:dyDescent="0.25">
      <c r="B670" s="55"/>
      <c r="C670" s="51"/>
      <c r="D670" s="75"/>
      <c r="E670" s="53"/>
      <c r="H670" s="53"/>
      <c r="J670" s="53"/>
      <c r="M670" s="53"/>
      <c r="AM670" s="49"/>
    </row>
    <row r="671" spans="2:39" ht="25.15" customHeight="1" x14ac:dyDescent="0.25">
      <c r="B671" s="55"/>
      <c r="C671" s="51"/>
      <c r="D671" s="75"/>
      <c r="E671" s="53"/>
      <c r="H671" s="53"/>
      <c r="J671" s="53"/>
      <c r="M671" s="53"/>
      <c r="AM671" s="49"/>
    </row>
    <row r="672" spans="2:39" ht="25.15" customHeight="1" x14ac:dyDescent="0.25">
      <c r="B672" s="55"/>
      <c r="C672" s="51"/>
      <c r="D672" s="75"/>
      <c r="E672" s="53"/>
      <c r="H672" s="53"/>
      <c r="J672" s="53"/>
      <c r="M672" s="53"/>
      <c r="AM672" s="49"/>
    </row>
    <row r="673" spans="2:39" ht="25.15" customHeight="1" x14ac:dyDescent="0.25">
      <c r="B673" s="55"/>
      <c r="C673" s="51"/>
      <c r="D673" s="75"/>
      <c r="E673" s="53"/>
      <c r="H673" s="53"/>
      <c r="J673" s="53"/>
      <c r="M673" s="53"/>
      <c r="AM673" s="49"/>
    </row>
    <row r="674" spans="2:39" ht="25.15" customHeight="1" x14ac:dyDescent="0.25">
      <c r="B674" s="55"/>
      <c r="C674" s="51"/>
      <c r="D674" s="75"/>
      <c r="E674" s="53"/>
      <c r="H674" s="53"/>
      <c r="J674" s="53"/>
      <c r="M674" s="53"/>
      <c r="AM674" s="49"/>
    </row>
    <row r="675" spans="2:39" ht="25.15" customHeight="1" x14ac:dyDescent="0.25">
      <c r="B675" s="55"/>
      <c r="C675" s="51"/>
      <c r="D675" s="75"/>
      <c r="E675" s="53"/>
      <c r="H675" s="53"/>
      <c r="J675" s="53"/>
      <c r="M675" s="53"/>
      <c r="AM675" s="49"/>
    </row>
    <row r="676" spans="2:39" ht="25.15" customHeight="1" x14ac:dyDescent="0.25">
      <c r="B676" s="55"/>
      <c r="C676" s="51"/>
      <c r="D676" s="75"/>
      <c r="E676" s="53"/>
      <c r="H676" s="53"/>
      <c r="J676" s="53"/>
      <c r="M676" s="53"/>
      <c r="AM676" s="49"/>
    </row>
    <row r="677" spans="2:39" ht="25.15" customHeight="1" x14ac:dyDescent="0.25">
      <c r="B677" s="55"/>
      <c r="C677" s="51"/>
      <c r="D677" s="75"/>
      <c r="E677" s="53"/>
      <c r="H677" s="53"/>
      <c r="J677" s="53"/>
      <c r="M677" s="53"/>
      <c r="AM677" s="49"/>
    </row>
    <row r="678" spans="2:39" ht="25.15" customHeight="1" x14ac:dyDescent="0.25">
      <c r="B678" s="55"/>
      <c r="C678" s="51"/>
      <c r="D678" s="75"/>
      <c r="E678" s="53"/>
      <c r="H678" s="53"/>
      <c r="J678" s="53"/>
      <c r="M678" s="53"/>
      <c r="AM678" s="49"/>
    </row>
    <row r="679" spans="2:39" ht="25.15" customHeight="1" x14ac:dyDescent="0.25">
      <c r="B679" s="55"/>
      <c r="C679" s="51"/>
      <c r="D679" s="75"/>
      <c r="E679" s="53"/>
      <c r="H679" s="53"/>
      <c r="J679" s="53"/>
      <c r="M679" s="53"/>
      <c r="AM679" s="49"/>
    </row>
    <row r="680" spans="2:39" ht="25.15" customHeight="1" x14ac:dyDescent="0.25">
      <c r="B680" s="55"/>
      <c r="C680" s="51"/>
      <c r="D680" s="75"/>
      <c r="E680" s="53"/>
      <c r="H680" s="53"/>
      <c r="J680" s="53"/>
      <c r="M680" s="53"/>
      <c r="AM680" s="49"/>
    </row>
    <row r="681" spans="2:39" ht="25.15" customHeight="1" x14ac:dyDescent="0.25">
      <c r="B681" s="55"/>
      <c r="C681" s="51"/>
      <c r="D681" s="75"/>
      <c r="E681" s="53"/>
      <c r="H681" s="53"/>
      <c r="J681" s="53"/>
      <c r="M681" s="53"/>
      <c r="AM681" s="49"/>
    </row>
    <row r="682" spans="2:39" ht="25.15" customHeight="1" x14ac:dyDescent="0.25">
      <c r="B682" s="55"/>
      <c r="C682" s="51"/>
      <c r="D682" s="75"/>
      <c r="E682" s="53"/>
      <c r="H682" s="53"/>
      <c r="J682" s="53"/>
      <c r="M682" s="53"/>
      <c r="AM682" s="49"/>
    </row>
    <row r="683" spans="2:39" ht="25.15" customHeight="1" x14ac:dyDescent="0.25">
      <c r="B683" s="55"/>
      <c r="C683" s="51"/>
      <c r="D683" s="75"/>
      <c r="E683" s="53"/>
      <c r="H683" s="53"/>
      <c r="J683" s="53"/>
      <c r="M683" s="53"/>
      <c r="AM683" s="49"/>
    </row>
    <row r="684" spans="2:39" ht="25.15" customHeight="1" x14ac:dyDescent="0.25">
      <c r="B684" s="55"/>
      <c r="C684" s="51"/>
      <c r="D684" s="75"/>
      <c r="E684" s="53"/>
      <c r="H684" s="53"/>
      <c r="J684" s="53"/>
      <c r="M684" s="53"/>
      <c r="AM684" s="49"/>
    </row>
    <row r="685" spans="2:39" ht="25.15" customHeight="1" x14ac:dyDescent="0.25">
      <c r="B685" s="55"/>
      <c r="C685" s="51"/>
      <c r="D685" s="75"/>
      <c r="E685" s="53"/>
      <c r="H685" s="53"/>
      <c r="J685" s="53"/>
      <c r="M685" s="53"/>
      <c r="AM685" s="49"/>
    </row>
    <row r="686" spans="2:39" ht="25.15" customHeight="1" x14ac:dyDescent="0.25">
      <c r="B686" s="55"/>
      <c r="C686" s="51"/>
      <c r="D686" s="75"/>
      <c r="E686" s="53"/>
      <c r="H686" s="53"/>
      <c r="J686" s="53"/>
      <c r="M686" s="53"/>
      <c r="AM686" s="49"/>
    </row>
    <row r="687" spans="2:39" ht="25.15" customHeight="1" x14ac:dyDescent="0.25">
      <c r="B687" s="55"/>
      <c r="C687" s="51"/>
      <c r="D687" s="75"/>
      <c r="E687" s="53"/>
      <c r="H687" s="53"/>
      <c r="J687" s="53"/>
      <c r="M687" s="53"/>
      <c r="AM687" s="49"/>
    </row>
    <row r="688" spans="2:39" ht="25.15" customHeight="1" x14ac:dyDescent="0.25">
      <c r="B688" s="55"/>
      <c r="C688" s="51"/>
      <c r="D688" s="75"/>
      <c r="E688" s="53"/>
      <c r="H688" s="53"/>
      <c r="J688" s="53"/>
      <c r="M688" s="53"/>
      <c r="AM688" s="49"/>
    </row>
    <row r="689" spans="2:39" ht="25.15" customHeight="1" x14ac:dyDescent="0.25">
      <c r="B689" s="55"/>
      <c r="C689" s="51"/>
      <c r="D689" s="75"/>
      <c r="E689" s="53"/>
      <c r="H689" s="53"/>
      <c r="J689" s="53"/>
      <c r="M689" s="53"/>
      <c r="AM689" s="49"/>
    </row>
    <row r="690" spans="2:39" ht="25.15" customHeight="1" x14ac:dyDescent="0.25">
      <c r="B690" s="55"/>
      <c r="C690" s="51"/>
      <c r="D690" s="75"/>
      <c r="E690" s="53"/>
      <c r="H690" s="53"/>
      <c r="J690" s="53"/>
      <c r="M690" s="53"/>
      <c r="AM690" s="49"/>
    </row>
    <row r="691" spans="2:39" ht="25.15" customHeight="1" x14ac:dyDescent="0.25">
      <c r="B691" s="55"/>
      <c r="C691" s="51"/>
      <c r="D691" s="75"/>
      <c r="E691" s="53"/>
      <c r="H691" s="53"/>
      <c r="J691" s="53"/>
      <c r="M691" s="53"/>
      <c r="AM691" s="49"/>
    </row>
    <row r="692" spans="2:39" ht="25.15" customHeight="1" x14ac:dyDescent="0.25">
      <c r="B692" s="55"/>
      <c r="C692" s="51"/>
      <c r="D692" s="75"/>
      <c r="E692" s="53"/>
      <c r="H692" s="53"/>
      <c r="J692" s="53"/>
      <c r="M692" s="53"/>
      <c r="AM692" s="49"/>
    </row>
    <row r="693" spans="2:39" ht="25.15" customHeight="1" x14ac:dyDescent="0.25">
      <c r="B693" s="55"/>
      <c r="C693" s="51"/>
      <c r="D693" s="75"/>
      <c r="E693" s="53"/>
      <c r="H693" s="53"/>
      <c r="J693" s="53"/>
      <c r="M693" s="53"/>
      <c r="AM693" s="49"/>
    </row>
    <row r="694" spans="2:39" ht="25.15" customHeight="1" x14ac:dyDescent="0.25">
      <c r="B694" s="55"/>
      <c r="C694" s="51"/>
      <c r="D694" s="75"/>
      <c r="E694" s="53"/>
      <c r="H694" s="53"/>
      <c r="J694" s="53"/>
      <c r="M694" s="53"/>
      <c r="AM694" s="49"/>
    </row>
    <row r="695" spans="2:39" ht="25.15" customHeight="1" x14ac:dyDescent="0.25">
      <c r="B695" s="55"/>
      <c r="C695" s="51"/>
      <c r="D695" s="75"/>
      <c r="E695" s="53"/>
      <c r="H695" s="53"/>
      <c r="J695" s="53"/>
      <c r="M695" s="53"/>
      <c r="AM695" s="49"/>
    </row>
    <row r="696" spans="2:39" ht="25.15" customHeight="1" x14ac:dyDescent="0.25">
      <c r="B696" s="55"/>
      <c r="C696" s="51"/>
      <c r="D696" s="75"/>
      <c r="E696" s="53"/>
      <c r="H696" s="53"/>
      <c r="J696" s="53"/>
      <c r="M696" s="53"/>
      <c r="AM696" s="49"/>
    </row>
    <row r="697" spans="2:39" ht="25.15" customHeight="1" x14ac:dyDescent="0.25">
      <c r="B697" s="55"/>
      <c r="C697" s="51"/>
      <c r="D697" s="75"/>
      <c r="E697" s="53"/>
      <c r="H697" s="53"/>
      <c r="J697" s="53"/>
      <c r="M697" s="53"/>
      <c r="AM697" s="49"/>
    </row>
    <row r="698" spans="2:39" ht="25.15" customHeight="1" x14ac:dyDescent="0.25">
      <c r="B698" s="55"/>
      <c r="C698" s="51"/>
      <c r="D698" s="75"/>
      <c r="E698" s="53"/>
      <c r="H698" s="53"/>
      <c r="J698" s="53"/>
      <c r="M698" s="53"/>
      <c r="AM698" s="49"/>
    </row>
    <row r="699" spans="2:39" ht="25.15" customHeight="1" x14ac:dyDescent="0.25">
      <c r="B699" s="55"/>
      <c r="C699" s="51"/>
      <c r="D699" s="75"/>
      <c r="E699" s="53"/>
      <c r="H699" s="53"/>
      <c r="J699" s="53"/>
      <c r="M699" s="53"/>
      <c r="AM699" s="49"/>
    </row>
    <row r="700" spans="2:39" ht="25.15" customHeight="1" x14ac:dyDescent="0.25">
      <c r="B700" s="55"/>
      <c r="C700" s="51"/>
      <c r="D700" s="75"/>
      <c r="E700" s="53"/>
      <c r="H700" s="53"/>
      <c r="J700" s="53"/>
      <c r="M700" s="53"/>
      <c r="AM700" s="49"/>
    </row>
    <row r="701" spans="2:39" ht="25.15" customHeight="1" x14ac:dyDescent="0.25">
      <c r="B701" s="55"/>
      <c r="C701" s="51"/>
      <c r="D701" s="75"/>
      <c r="E701" s="53"/>
      <c r="H701" s="53"/>
      <c r="J701" s="53"/>
      <c r="M701" s="53"/>
      <c r="AM701" s="49"/>
    </row>
    <row r="702" spans="2:39" ht="25.15" customHeight="1" x14ac:dyDescent="0.25">
      <c r="B702" s="55"/>
      <c r="C702" s="51"/>
      <c r="D702" s="75"/>
      <c r="E702" s="53"/>
      <c r="H702" s="53"/>
      <c r="J702" s="53"/>
      <c r="M702" s="53"/>
      <c r="AM702" s="49"/>
    </row>
    <row r="703" spans="2:39" ht="25.15" customHeight="1" x14ac:dyDescent="0.25">
      <c r="B703" s="55"/>
      <c r="C703" s="51"/>
      <c r="D703" s="75"/>
      <c r="E703" s="53"/>
      <c r="H703" s="53"/>
      <c r="J703" s="53"/>
      <c r="M703" s="53"/>
      <c r="AM703" s="49"/>
    </row>
    <row r="704" spans="2:39" ht="25.15" customHeight="1" x14ac:dyDescent="0.25">
      <c r="B704" s="55"/>
      <c r="C704" s="51"/>
      <c r="D704" s="75"/>
      <c r="E704" s="53"/>
      <c r="H704" s="53"/>
      <c r="J704" s="53"/>
      <c r="M704" s="53"/>
      <c r="AM704" s="49"/>
    </row>
    <row r="705" spans="2:39" ht="25.15" customHeight="1" x14ac:dyDescent="0.25">
      <c r="B705" s="55"/>
      <c r="C705" s="51"/>
      <c r="D705" s="75"/>
      <c r="E705" s="53"/>
      <c r="H705" s="53"/>
      <c r="J705" s="53"/>
      <c r="M705" s="53"/>
      <c r="AM705" s="49"/>
    </row>
    <row r="706" spans="2:39" ht="25.15" customHeight="1" x14ac:dyDescent="0.25">
      <c r="B706" s="55"/>
      <c r="C706" s="51"/>
      <c r="D706" s="75"/>
      <c r="E706" s="53"/>
      <c r="H706" s="53"/>
      <c r="J706" s="53"/>
      <c r="M706" s="53"/>
      <c r="AM706" s="49"/>
    </row>
    <row r="707" spans="2:39" ht="25.15" customHeight="1" x14ac:dyDescent="0.25">
      <c r="B707" s="55"/>
      <c r="C707" s="51"/>
      <c r="D707" s="75"/>
      <c r="E707" s="53"/>
      <c r="H707" s="53"/>
      <c r="J707" s="53"/>
      <c r="M707" s="53"/>
      <c r="AM707" s="49"/>
    </row>
    <row r="708" spans="2:39" ht="25.15" customHeight="1" x14ac:dyDescent="0.25">
      <c r="B708" s="55"/>
      <c r="C708" s="51"/>
      <c r="D708" s="75"/>
      <c r="E708" s="53"/>
      <c r="H708" s="53"/>
      <c r="J708" s="53"/>
      <c r="M708" s="53"/>
      <c r="AM708" s="49"/>
    </row>
    <row r="709" spans="2:39" ht="25.15" customHeight="1" x14ac:dyDescent="0.25">
      <c r="B709" s="55"/>
      <c r="C709" s="51"/>
      <c r="D709" s="75"/>
      <c r="E709" s="53"/>
      <c r="H709" s="53"/>
      <c r="J709" s="53"/>
      <c r="M709" s="53"/>
      <c r="AM709" s="49"/>
    </row>
    <row r="710" spans="2:39" ht="25.15" customHeight="1" x14ac:dyDescent="0.25">
      <c r="B710" s="55"/>
      <c r="C710" s="51"/>
      <c r="D710" s="75"/>
      <c r="E710" s="53"/>
      <c r="H710" s="53"/>
      <c r="J710" s="53"/>
      <c r="M710" s="53"/>
      <c r="AM710" s="49"/>
    </row>
    <row r="711" spans="2:39" ht="25.15" customHeight="1" x14ac:dyDescent="0.25">
      <c r="B711" s="55"/>
      <c r="C711" s="51"/>
      <c r="D711" s="75"/>
      <c r="E711" s="53"/>
      <c r="H711" s="53"/>
      <c r="J711" s="53"/>
      <c r="M711" s="53"/>
      <c r="AM711" s="49"/>
    </row>
    <row r="712" spans="2:39" ht="25.15" customHeight="1" x14ac:dyDescent="0.25">
      <c r="B712" s="55"/>
      <c r="C712" s="51"/>
      <c r="D712" s="75"/>
      <c r="E712" s="53"/>
      <c r="H712" s="53"/>
      <c r="J712" s="53"/>
      <c r="M712" s="53"/>
      <c r="AM712" s="49"/>
    </row>
    <row r="713" spans="2:39" ht="25.15" customHeight="1" x14ac:dyDescent="0.25">
      <c r="B713" s="55"/>
      <c r="C713" s="51"/>
      <c r="D713" s="75"/>
      <c r="E713" s="53"/>
      <c r="H713" s="53"/>
      <c r="J713" s="53"/>
      <c r="M713" s="53"/>
      <c r="AM713" s="49"/>
    </row>
    <row r="714" spans="2:39" ht="25.15" customHeight="1" x14ac:dyDescent="0.25">
      <c r="B714" s="55"/>
      <c r="C714" s="51"/>
      <c r="D714" s="75"/>
      <c r="E714" s="53"/>
      <c r="H714" s="53"/>
      <c r="J714" s="53"/>
      <c r="M714" s="53"/>
      <c r="AM714" s="49"/>
    </row>
    <row r="715" spans="2:39" ht="25.15" customHeight="1" x14ac:dyDescent="0.25">
      <c r="B715" s="55"/>
      <c r="C715" s="51"/>
      <c r="D715" s="75"/>
      <c r="E715" s="53"/>
      <c r="H715" s="53"/>
      <c r="J715" s="53"/>
      <c r="M715" s="53"/>
      <c r="AM715" s="49"/>
    </row>
    <row r="716" spans="2:39" ht="25.15" customHeight="1" x14ac:dyDescent="0.25">
      <c r="B716" s="55"/>
      <c r="C716" s="51"/>
      <c r="D716" s="75"/>
      <c r="E716" s="53"/>
      <c r="H716" s="53"/>
      <c r="J716" s="53"/>
      <c r="M716" s="53"/>
      <c r="AM716" s="49"/>
    </row>
    <row r="717" spans="2:39" ht="25.15" customHeight="1" x14ac:dyDescent="0.25">
      <c r="B717" s="55"/>
      <c r="C717" s="51"/>
      <c r="D717" s="75"/>
      <c r="E717" s="53"/>
      <c r="H717" s="53"/>
      <c r="J717" s="53"/>
      <c r="M717" s="53"/>
      <c r="AM717" s="49"/>
    </row>
    <row r="718" spans="2:39" ht="25.15" customHeight="1" x14ac:dyDescent="0.25">
      <c r="B718" s="55"/>
      <c r="C718" s="51"/>
      <c r="D718" s="75"/>
      <c r="E718" s="53"/>
      <c r="H718" s="53"/>
      <c r="J718" s="53"/>
      <c r="M718" s="53"/>
      <c r="AM718" s="49"/>
    </row>
    <row r="719" spans="2:39" ht="25.15" customHeight="1" x14ac:dyDescent="0.25">
      <c r="B719" s="55"/>
      <c r="C719" s="51"/>
      <c r="D719" s="75"/>
      <c r="E719" s="53"/>
      <c r="H719" s="53"/>
      <c r="J719" s="53"/>
      <c r="M719" s="53"/>
      <c r="AM719" s="49"/>
    </row>
    <row r="720" spans="2:39" ht="25.15" customHeight="1" x14ac:dyDescent="0.25">
      <c r="B720" s="55"/>
      <c r="C720" s="51"/>
      <c r="D720" s="75"/>
      <c r="E720" s="53"/>
      <c r="H720" s="53"/>
      <c r="J720" s="53"/>
      <c r="M720" s="53"/>
      <c r="AM720" s="49"/>
    </row>
    <row r="721" spans="2:39" ht="25.15" customHeight="1" x14ac:dyDescent="0.25">
      <c r="B721" s="55"/>
      <c r="C721" s="51"/>
      <c r="D721" s="75"/>
      <c r="E721" s="53"/>
      <c r="H721" s="53"/>
      <c r="J721" s="53"/>
      <c r="M721" s="53"/>
      <c r="AM721" s="49"/>
    </row>
    <row r="722" spans="2:39" ht="25.15" customHeight="1" x14ac:dyDescent="0.25">
      <c r="B722" s="55"/>
      <c r="C722" s="51"/>
      <c r="D722" s="75"/>
      <c r="E722" s="53"/>
      <c r="H722" s="53"/>
      <c r="J722" s="53"/>
      <c r="M722" s="53"/>
      <c r="AM722" s="49"/>
    </row>
    <row r="723" spans="2:39" ht="25.15" customHeight="1" x14ac:dyDescent="0.25">
      <c r="B723" s="55"/>
      <c r="C723" s="51"/>
      <c r="D723" s="75"/>
      <c r="E723" s="53"/>
      <c r="H723" s="53"/>
      <c r="J723" s="53"/>
      <c r="M723" s="53"/>
      <c r="AM723" s="49"/>
    </row>
    <row r="724" spans="2:39" ht="25.15" customHeight="1" x14ac:dyDescent="0.25">
      <c r="B724" s="55"/>
      <c r="C724" s="51"/>
      <c r="D724" s="75"/>
      <c r="E724" s="53"/>
      <c r="H724" s="53"/>
      <c r="J724" s="53"/>
      <c r="M724" s="53"/>
      <c r="AM724" s="49"/>
    </row>
    <row r="725" spans="2:39" ht="25.15" customHeight="1" x14ac:dyDescent="0.25">
      <c r="B725" s="55"/>
      <c r="C725" s="51"/>
      <c r="D725" s="75"/>
      <c r="E725" s="53"/>
      <c r="H725" s="53"/>
      <c r="J725" s="53"/>
      <c r="M725" s="53"/>
      <c r="AM725" s="49"/>
    </row>
    <row r="726" spans="2:39" ht="25.15" customHeight="1" x14ac:dyDescent="0.25">
      <c r="B726" s="55"/>
      <c r="C726" s="51"/>
      <c r="D726" s="75"/>
      <c r="E726" s="53"/>
      <c r="H726" s="53"/>
      <c r="J726" s="53"/>
      <c r="M726" s="53"/>
      <c r="AM726" s="49"/>
    </row>
    <row r="727" spans="2:39" ht="25.15" customHeight="1" x14ac:dyDescent="0.25">
      <c r="B727" s="55"/>
      <c r="C727" s="51"/>
      <c r="D727" s="75"/>
      <c r="E727" s="53"/>
      <c r="H727" s="53"/>
      <c r="J727" s="53"/>
      <c r="M727" s="53"/>
      <c r="AM727" s="49"/>
    </row>
    <row r="728" spans="2:39" ht="25.15" customHeight="1" x14ac:dyDescent="0.25">
      <c r="B728" s="55"/>
      <c r="C728" s="51"/>
      <c r="D728" s="75"/>
      <c r="E728" s="53"/>
      <c r="H728" s="53"/>
      <c r="J728" s="53"/>
      <c r="M728" s="53"/>
      <c r="AM728" s="49"/>
    </row>
    <row r="729" spans="2:39" ht="25.15" customHeight="1" x14ac:dyDescent="0.25">
      <c r="B729" s="55"/>
      <c r="C729" s="51"/>
      <c r="D729" s="75"/>
      <c r="E729" s="53"/>
      <c r="H729" s="53"/>
      <c r="J729" s="53"/>
      <c r="M729" s="53"/>
      <c r="AM729" s="49"/>
    </row>
    <row r="730" spans="2:39" ht="25.15" customHeight="1" x14ac:dyDescent="0.25">
      <c r="B730" s="55"/>
      <c r="C730" s="51"/>
      <c r="D730" s="75"/>
      <c r="E730" s="53"/>
      <c r="H730" s="53"/>
      <c r="J730" s="53"/>
      <c r="M730" s="53"/>
      <c r="AM730" s="49"/>
    </row>
    <row r="731" spans="2:39" ht="25.15" customHeight="1" x14ac:dyDescent="0.25">
      <c r="B731" s="55"/>
      <c r="C731" s="51"/>
      <c r="D731" s="75"/>
      <c r="E731" s="53"/>
      <c r="H731" s="53"/>
      <c r="J731" s="53"/>
      <c r="M731" s="53"/>
      <c r="AM731" s="49"/>
    </row>
    <row r="732" spans="2:39" ht="25.15" customHeight="1" x14ac:dyDescent="0.25">
      <c r="B732" s="55"/>
      <c r="C732" s="51"/>
      <c r="D732" s="75"/>
      <c r="E732" s="53"/>
      <c r="H732" s="53"/>
      <c r="J732" s="53"/>
      <c r="M732" s="53"/>
      <c r="AM732" s="49"/>
    </row>
    <row r="733" spans="2:39" ht="25.15" customHeight="1" x14ac:dyDescent="0.25">
      <c r="B733" s="55"/>
      <c r="C733" s="51"/>
      <c r="D733" s="75"/>
      <c r="E733" s="53"/>
      <c r="H733" s="53"/>
      <c r="J733" s="53"/>
      <c r="M733" s="53"/>
      <c r="AM733" s="49"/>
    </row>
    <row r="734" spans="2:39" ht="25.15" customHeight="1" x14ac:dyDescent="0.25">
      <c r="B734" s="55"/>
      <c r="C734" s="51"/>
      <c r="D734" s="75"/>
      <c r="E734" s="53"/>
      <c r="H734" s="53"/>
      <c r="J734" s="53"/>
      <c r="M734" s="53"/>
      <c r="AM734" s="49"/>
    </row>
    <row r="735" spans="2:39" ht="25.15" customHeight="1" x14ac:dyDescent="0.25">
      <c r="B735" s="55"/>
      <c r="C735" s="51"/>
      <c r="D735" s="75"/>
      <c r="E735" s="53"/>
      <c r="H735" s="53"/>
      <c r="J735" s="53"/>
      <c r="M735" s="53"/>
      <c r="AM735" s="49"/>
    </row>
    <row r="736" spans="2:39" ht="25.15" customHeight="1" x14ac:dyDescent="0.25">
      <c r="B736" s="55"/>
      <c r="C736" s="51"/>
      <c r="D736" s="75"/>
      <c r="E736" s="53"/>
      <c r="H736" s="53"/>
      <c r="J736" s="53"/>
      <c r="M736" s="53"/>
      <c r="AM736" s="49"/>
    </row>
    <row r="737" spans="2:39" ht="25.15" customHeight="1" x14ac:dyDescent="0.25">
      <c r="B737" s="55"/>
      <c r="C737" s="51"/>
      <c r="D737" s="75"/>
      <c r="E737" s="53"/>
      <c r="H737" s="53"/>
      <c r="J737" s="53"/>
      <c r="M737" s="53"/>
      <c r="AM737" s="49"/>
    </row>
    <row r="738" spans="2:39" ht="25.15" customHeight="1" x14ac:dyDescent="0.25">
      <c r="B738" s="55"/>
      <c r="C738" s="51"/>
      <c r="D738" s="75"/>
      <c r="E738" s="53"/>
      <c r="H738" s="53"/>
      <c r="J738" s="53"/>
      <c r="M738" s="53"/>
      <c r="AM738" s="49"/>
    </row>
    <row r="739" spans="2:39" ht="25.15" customHeight="1" x14ac:dyDescent="0.25">
      <c r="B739" s="55"/>
      <c r="C739" s="51"/>
      <c r="D739" s="75"/>
      <c r="E739" s="53"/>
      <c r="H739" s="53"/>
      <c r="J739" s="53"/>
      <c r="M739" s="53"/>
      <c r="AM739" s="49"/>
    </row>
    <row r="740" spans="2:39" ht="25.15" customHeight="1" x14ac:dyDescent="0.25">
      <c r="B740" s="55"/>
      <c r="C740" s="51"/>
      <c r="D740" s="75"/>
      <c r="E740" s="53"/>
      <c r="H740" s="53"/>
      <c r="J740" s="53"/>
      <c r="M740" s="53"/>
      <c r="AM740" s="49"/>
    </row>
    <row r="741" spans="2:39" ht="25.15" customHeight="1" x14ac:dyDescent="0.25">
      <c r="B741" s="55"/>
      <c r="C741" s="51"/>
      <c r="D741" s="75"/>
      <c r="E741" s="53"/>
      <c r="H741" s="53"/>
      <c r="J741" s="53"/>
      <c r="M741" s="53"/>
      <c r="AM741" s="49"/>
    </row>
    <row r="742" spans="2:39" ht="25.15" customHeight="1" x14ac:dyDescent="0.25">
      <c r="B742" s="55"/>
      <c r="C742" s="51"/>
      <c r="D742" s="75"/>
      <c r="E742" s="53"/>
      <c r="H742" s="53"/>
      <c r="J742" s="53"/>
      <c r="M742" s="53"/>
      <c r="AM742" s="49"/>
    </row>
    <row r="743" spans="2:39" ht="25.15" customHeight="1" x14ac:dyDescent="0.25">
      <c r="B743" s="55"/>
      <c r="C743" s="51"/>
      <c r="D743" s="75"/>
      <c r="E743" s="53"/>
      <c r="H743" s="53"/>
      <c r="J743" s="53"/>
      <c r="M743" s="53"/>
      <c r="AM743" s="49"/>
    </row>
    <row r="744" spans="2:39" ht="25.15" customHeight="1" x14ac:dyDescent="0.25">
      <c r="B744" s="55"/>
      <c r="C744" s="51"/>
      <c r="D744" s="75"/>
      <c r="E744" s="53"/>
      <c r="H744" s="53"/>
      <c r="J744" s="53"/>
      <c r="M744" s="53"/>
      <c r="AM744" s="49"/>
    </row>
    <row r="745" spans="2:39" ht="25.15" customHeight="1" x14ac:dyDescent="0.25">
      <c r="B745" s="55"/>
      <c r="C745" s="51"/>
      <c r="D745" s="75"/>
      <c r="E745" s="53"/>
      <c r="H745" s="53"/>
      <c r="J745" s="53"/>
      <c r="M745" s="53"/>
      <c r="AM745" s="49"/>
    </row>
    <row r="746" spans="2:39" ht="25.15" customHeight="1" x14ac:dyDescent="0.25">
      <c r="B746" s="55"/>
      <c r="C746" s="51"/>
      <c r="D746" s="75"/>
      <c r="E746" s="53"/>
      <c r="H746" s="53"/>
      <c r="J746" s="53"/>
      <c r="M746" s="53"/>
      <c r="AM746" s="49"/>
    </row>
    <row r="747" spans="2:39" ht="25.15" customHeight="1" x14ac:dyDescent="0.25">
      <c r="B747" s="55"/>
      <c r="C747" s="51"/>
      <c r="D747" s="75"/>
      <c r="E747" s="53"/>
      <c r="H747" s="53"/>
      <c r="J747" s="53"/>
      <c r="M747" s="53"/>
      <c r="AM747" s="49"/>
    </row>
    <row r="748" spans="2:39" ht="25.15" customHeight="1" x14ac:dyDescent="0.25">
      <c r="B748" s="55"/>
      <c r="C748" s="51"/>
      <c r="D748" s="75"/>
      <c r="E748" s="53"/>
      <c r="H748" s="53"/>
      <c r="J748" s="53"/>
      <c r="M748" s="53"/>
      <c r="AM748" s="49"/>
    </row>
    <row r="749" spans="2:39" ht="25.15" customHeight="1" x14ac:dyDescent="0.25">
      <c r="B749" s="55"/>
      <c r="C749" s="51"/>
      <c r="D749" s="75"/>
      <c r="E749" s="53"/>
      <c r="H749" s="53"/>
      <c r="J749" s="53"/>
      <c r="M749" s="53"/>
      <c r="AM749" s="49"/>
    </row>
    <row r="750" spans="2:39" ht="25.15" customHeight="1" x14ac:dyDescent="0.25">
      <c r="B750" s="55"/>
      <c r="C750" s="51"/>
      <c r="D750" s="75"/>
      <c r="E750" s="53"/>
      <c r="H750" s="53"/>
      <c r="J750" s="53"/>
      <c r="M750" s="53"/>
      <c r="AM750" s="49"/>
    </row>
    <row r="751" spans="2:39" ht="25.15" customHeight="1" x14ac:dyDescent="0.25">
      <c r="B751" s="55"/>
      <c r="C751" s="51"/>
      <c r="D751" s="75"/>
      <c r="E751" s="53"/>
      <c r="H751" s="53"/>
      <c r="J751" s="53"/>
      <c r="M751" s="53"/>
      <c r="AM751" s="49"/>
    </row>
    <row r="752" spans="2:39" ht="25.15" customHeight="1" x14ac:dyDescent="0.25">
      <c r="B752" s="55"/>
      <c r="C752" s="51"/>
      <c r="D752" s="75"/>
      <c r="E752" s="53"/>
      <c r="H752" s="53"/>
      <c r="J752" s="53"/>
      <c r="M752" s="53"/>
      <c r="AM752" s="49"/>
    </row>
    <row r="753" spans="2:39" ht="25.15" customHeight="1" x14ac:dyDescent="0.25">
      <c r="B753" s="55"/>
      <c r="C753" s="51"/>
      <c r="D753" s="75"/>
      <c r="E753" s="53"/>
      <c r="H753" s="53"/>
      <c r="J753" s="53"/>
      <c r="M753" s="53"/>
      <c r="AM753" s="49"/>
    </row>
    <row r="754" spans="2:39" ht="25.15" customHeight="1" x14ac:dyDescent="0.25">
      <c r="B754" s="55"/>
      <c r="C754" s="51"/>
      <c r="D754" s="75"/>
      <c r="E754" s="53"/>
      <c r="H754" s="53"/>
      <c r="J754" s="53"/>
      <c r="M754" s="53"/>
      <c r="AM754" s="49"/>
    </row>
    <row r="755" spans="2:39" ht="25.15" customHeight="1" x14ac:dyDescent="0.25">
      <c r="B755" s="55"/>
      <c r="C755" s="51"/>
      <c r="D755" s="75"/>
      <c r="E755" s="53"/>
      <c r="H755" s="53"/>
      <c r="J755" s="53"/>
      <c r="M755" s="53"/>
      <c r="AM755" s="49"/>
    </row>
    <row r="756" spans="2:39" ht="25.15" customHeight="1" x14ac:dyDescent="0.25">
      <c r="B756" s="55"/>
      <c r="C756" s="51"/>
      <c r="D756" s="75"/>
      <c r="E756" s="53"/>
      <c r="H756" s="53"/>
      <c r="J756" s="53"/>
      <c r="M756" s="53"/>
      <c r="AM756" s="49"/>
    </row>
    <row r="757" spans="2:39" ht="25.15" customHeight="1" x14ac:dyDescent="0.25">
      <c r="B757" s="55"/>
      <c r="C757" s="51"/>
      <c r="D757" s="75"/>
      <c r="E757" s="53"/>
      <c r="H757" s="53"/>
      <c r="J757" s="53"/>
      <c r="M757" s="53"/>
      <c r="AM757" s="49"/>
    </row>
    <row r="758" spans="2:39" ht="25.15" customHeight="1" x14ac:dyDescent="0.25">
      <c r="B758" s="55"/>
      <c r="C758" s="51"/>
      <c r="D758" s="75"/>
      <c r="E758" s="53"/>
      <c r="H758" s="53"/>
      <c r="J758" s="53"/>
      <c r="M758" s="53"/>
      <c r="AM758" s="49"/>
    </row>
    <row r="759" spans="2:39" ht="25.15" customHeight="1" x14ac:dyDescent="0.25">
      <c r="B759" s="55"/>
      <c r="C759" s="51"/>
      <c r="D759" s="75"/>
      <c r="E759" s="53"/>
      <c r="H759" s="53"/>
      <c r="J759" s="53"/>
      <c r="M759" s="53"/>
      <c r="AM759" s="49"/>
    </row>
    <row r="760" spans="2:39" ht="25.15" customHeight="1" x14ac:dyDescent="0.25">
      <c r="B760" s="55"/>
      <c r="C760" s="51"/>
      <c r="D760" s="75"/>
      <c r="E760" s="53"/>
      <c r="H760" s="53"/>
      <c r="J760" s="53"/>
      <c r="M760" s="53"/>
      <c r="AM760" s="49"/>
    </row>
    <row r="761" spans="2:39" ht="25.15" customHeight="1" x14ac:dyDescent="0.25">
      <c r="B761" s="55"/>
      <c r="C761" s="51"/>
      <c r="D761" s="75"/>
      <c r="E761" s="53"/>
      <c r="H761" s="53"/>
      <c r="J761" s="53"/>
      <c r="M761" s="53"/>
      <c r="AM761" s="49"/>
    </row>
    <row r="762" spans="2:39" ht="25.15" customHeight="1" x14ac:dyDescent="0.25">
      <c r="B762" s="55"/>
      <c r="C762" s="51"/>
      <c r="D762" s="75"/>
      <c r="E762" s="53"/>
      <c r="H762" s="53"/>
      <c r="J762" s="53"/>
      <c r="M762" s="53"/>
      <c r="AM762" s="49"/>
    </row>
    <row r="763" spans="2:39" ht="25.15" customHeight="1" x14ac:dyDescent="0.25">
      <c r="B763" s="55"/>
      <c r="C763" s="51"/>
      <c r="D763" s="75"/>
      <c r="E763" s="53"/>
      <c r="H763" s="53"/>
      <c r="J763" s="53"/>
      <c r="M763" s="53"/>
      <c r="AM763" s="49"/>
    </row>
    <row r="764" spans="2:39" ht="25.15" customHeight="1" x14ac:dyDescent="0.25">
      <c r="B764" s="55"/>
      <c r="C764" s="51"/>
      <c r="D764" s="75"/>
      <c r="E764" s="53"/>
      <c r="H764" s="53"/>
      <c r="J764" s="53"/>
      <c r="M764" s="53"/>
      <c r="AM764" s="49"/>
    </row>
    <row r="765" spans="2:39" ht="25.15" customHeight="1" x14ac:dyDescent="0.25">
      <c r="B765" s="55"/>
      <c r="C765" s="51"/>
      <c r="D765" s="75"/>
      <c r="E765" s="53"/>
      <c r="H765" s="53"/>
      <c r="J765" s="53"/>
      <c r="M765" s="53"/>
      <c r="AM765" s="49"/>
    </row>
    <row r="766" spans="2:39" ht="25.15" customHeight="1" x14ac:dyDescent="0.25">
      <c r="B766" s="55"/>
      <c r="C766" s="51"/>
      <c r="D766" s="75"/>
      <c r="E766" s="53"/>
      <c r="H766" s="53"/>
      <c r="J766" s="53"/>
      <c r="M766" s="53"/>
      <c r="AM766" s="49"/>
    </row>
    <row r="767" spans="2:39" ht="25.15" customHeight="1" x14ac:dyDescent="0.25">
      <c r="B767" s="55"/>
      <c r="C767" s="51"/>
      <c r="D767" s="75"/>
      <c r="E767" s="53"/>
      <c r="H767" s="53"/>
      <c r="J767" s="53"/>
      <c r="M767" s="53"/>
      <c r="AM767" s="49"/>
    </row>
    <row r="768" spans="2:39" ht="25.15" customHeight="1" x14ac:dyDescent="0.25">
      <c r="B768" s="55"/>
      <c r="C768" s="51"/>
      <c r="D768" s="75"/>
      <c r="E768" s="53"/>
      <c r="H768" s="53"/>
      <c r="J768" s="53"/>
      <c r="M768" s="53"/>
      <c r="AM768" s="49"/>
    </row>
    <row r="769" spans="2:39" ht="25.15" customHeight="1" x14ac:dyDescent="0.25">
      <c r="B769" s="55"/>
      <c r="C769" s="51"/>
      <c r="D769" s="75"/>
      <c r="E769" s="53"/>
      <c r="H769" s="53"/>
      <c r="J769" s="53"/>
      <c r="M769" s="53"/>
      <c r="AM769" s="49"/>
    </row>
    <row r="770" spans="2:39" ht="25.15" customHeight="1" x14ac:dyDescent="0.25">
      <c r="B770" s="55"/>
      <c r="C770" s="51"/>
      <c r="D770" s="75"/>
      <c r="E770" s="53"/>
      <c r="H770" s="53"/>
      <c r="J770" s="53"/>
      <c r="M770" s="53"/>
      <c r="AM770" s="49"/>
    </row>
    <row r="771" spans="2:39" ht="25.15" customHeight="1" x14ac:dyDescent="0.25">
      <c r="B771" s="55"/>
      <c r="C771" s="51"/>
      <c r="D771" s="75"/>
      <c r="E771" s="53"/>
      <c r="H771" s="53"/>
      <c r="J771" s="53"/>
      <c r="M771" s="53"/>
      <c r="AM771" s="49"/>
    </row>
    <row r="772" spans="2:39" ht="25.15" customHeight="1" x14ac:dyDescent="0.25">
      <c r="B772" s="55"/>
      <c r="C772" s="51"/>
      <c r="D772" s="75"/>
      <c r="E772" s="53"/>
      <c r="H772" s="53"/>
      <c r="J772" s="53"/>
      <c r="M772" s="53"/>
      <c r="AM772" s="49"/>
    </row>
    <row r="773" spans="2:39" ht="25.15" customHeight="1" x14ac:dyDescent="0.25">
      <c r="B773" s="55"/>
      <c r="C773" s="51"/>
      <c r="D773" s="75"/>
      <c r="E773" s="53"/>
      <c r="H773" s="53"/>
      <c r="J773" s="53"/>
      <c r="M773" s="53"/>
      <c r="AM773" s="49"/>
    </row>
    <row r="774" spans="2:39" ht="25.15" customHeight="1" x14ac:dyDescent="0.25">
      <c r="B774" s="55"/>
      <c r="C774" s="51"/>
      <c r="D774" s="75"/>
      <c r="E774" s="53"/>
      <c r="H774" s="53"/>
      <c r="J774" s="53"/>
      <c r="M774" s="53"/>
      <c r="AM774" s="49"/>
    </row>
    <row r="775" spans="2:39" ht="25.15" customHeight="1" x14ac:dyDescent="0.25">
      <c r="B775" s="55"/>
      <c r="C775" s="51"/>
      <c r="D775" s="75"/>
      <c r="E775" s="53"/>
      <c r="H775" s="53"/>
      <c r="J775" s="53"/>
      <c r="M775" s="53"/>
      <c r="AM775" s="49"/>
    </row>
    <row r="776" spans="2:39" ht="25.15" customHeight="1" x14ac:dyDescent="0.25">
      <c r="B776" s="55"/>
      <c r="C776" s="51"/>
      <c r="D776" s="75"/>
      <c r="E776" s="53"/>
      <c r="H776" s="53"/>
      <c r="J776" s="53"/>
      <c r="M776" s="53"/>
      <c r="AM776" s="49"/>
    </row>
    <row r="777" spans="2:39" ht="25.15" customHeight="1" x14ac:dyDescent="0.25">
      <c r="B777" s="55"/>
      <c r="C777" s="51"/>
      <c r="D777" s="75"/>
      <c r="E777" s="53"/>
      <c r="H777" s="53"/>
      <c r="J777" s="53"/>
      <c r="M777" s="53"/>
      <c r="AM777" s="49"/>
    </row>
    <row r="778" spans="2:39" ht="25.15" customHeight="1" x14ac:dyDescent="0.25">
      <c r="B778" s="55"/>
      <c r="C778" s="51"/>
      <c r="D778" s="75"/>
      <c r="E778" s="53"/>
      <c r="H778" s="53"/>
      <c r="J778" s="53"/>
      <c r="M778" s="53"/>
      <c r="AM778" s="49"/>
    </row>
    <row r="779" spans="2:39" ht="25.15" customHeight="1" x14ac:dyDescent="0.25">
      <c r="B779" s="55"/>
      <c r="C779" s="51"/>
      <c r="D779" s="75"/>
      <c r="E779" s="53"/>
      <c r="H779" s="53"/>
      <c r="J779" s="53"/>
      <c r="M779" s="53"/>
      <c r="AM779" s="49"/>
    </row>
    <row r="780" spans="2:39" ht="25.15" customHeight="1" x14ac:dyDescent="0.25">
      <c r="B780" s="55"/>
      <c r="C780" s="51"/>
      <c r="D780" s="75"/>
      <c r="E780" s="53"/>
      <c r="H780" s="53"/>
      <c r="J780" s="53"/>
      <c r="M780" s="53"/>
      <c r="AM780" s="49"/>
    </row>
    <row r="781" spans="2:39" ht="25.15" customHeight="1" x14ac:dyDescent="0.25">
      <c r="B781" s="55"/>
      <c r="C781" s="51"/>
      <c r="D781" s="75"/>
      <c r="E781" s="53"/>
      <c r="H781" s="53"/>
      <c r="J781" s="53"/>
      <c r="M781" s="53"/>
      <c r="AM781" s="49"/>
    </row>
    <row r="782" spans="2:39" ht="25.15" customHeight="1" x14ac:dyDescent="0.25">
      <c r="B782" s="55"/>
      <c r="C782" s="51"/>
      <c r="D782" s="75"/>
      <c r="E782" s="53"/>
      <c r="H782" s="53"/>
      <c r="J782" s="53"/>
      <c r="M782" s="53"/>
      <c r="AM782" s="49"/>
    </row>
    <row r="783" spans="2:39" ht="25.15" customHeight="1" x14ac:dyDescent="0.25">
      <c r="B783" s="55"/>
      <c r="C783" s="51"/>
      <c r="D783" s="75"/>
      <c r="E783" s="53"/>
      <c r="H783" s="53"/>
      <c r="J783" s="53"/>
      <c r="M783" s="53"/>
      <c r="AM783" s="49"/>
    </row>
    <row r="784" spans="2:39" ht="25.15" customHeight="1" x14ac:dyDescent="0.25">
      <c r="B784" s="55"/>
      <c r="C784" s="51"/>
      <c r="D784" s="75"/>
      <c r="E784" s="53"/>
      <c r="H784" s="53"/>
      <c r="J784" s="53"/>
      <c r="M784" s="53"/>
      <c r="AM784" s="49"/>
    </row>
    <row r="785" spans="2:39" ht="25.15" customHeight="1" x14ac:dyDescent="0.25">
      <c r="B785" s="55"/>
      <c r="C785" s="51"/>
      <c r="D785" s="75"/>
      <c r="E785" s="53"/>
      <c r="H785" s="53"/>
      <c r="J785" s="53"/>
      <c r="M785" s="53"/>
      <c r="AM785" s="49"/>
    </row>
    <row r="786" spans="2:39" ht="25.15" customHeight="1" x14ac:dyDescent="0.25">
      <c r="B786" s="55"/>
      <c r="C786" s="51"/>
      <c r="D786" s="75"/>
      <c r="E786" s="53"/>
      <c r="H786" s="53"/>
      <c r="J786" s="53"/>
      <c r="M786" s="53"/>
      <c r="AM786" s="49"/>
    </row>
    <row r="787" spans="2:39" ht="25.15" customHeight="1" x14ac:dyDescent="0.25">
      <c r="B787" s="55"/>
      <c r="C787" s="51"/>
      <c r="D787" s="75"/>
      <c r="E787" s="53"/>
      <c r="H787" s="53"/>
      <c r="J787" s="53"/>
      <c r="M787" s="53"/>
      <c r="AM787" s="49"/>
    </row>
    <row r="788" spans="2:39" ht="25.15" customHeight="1" x14ac:dyDescent="0.25">
      <c r="B788" s="55"/>
      <c r="C788" s="51"/>
      <c r="D788" s="75"/>
      <c r="E788" s="53"/>
      <c r="H788" s="53"/>
      <c r="J788" s="53"/>
      <c r="M788" s="53"/>
      <c r="AM788" s="49"/>
    </row>
    <row r="789" spans="2:39" ht="25.15" customHeight="1" x14ac:dyDescent="0.25">
      <c r="B789" s="55"/>
      <c r="C789" s="51"/>
      <c r="D789" s="75"/>
      <c r="E789" s="53"/>
      <c r="H789" s="53"/>
      <c r="J789" s="53"/>
      <c r="M789" s="53"/>
      <c r="AM789" s="49"/>
    </row>
    <row r="790" spans="2:39" ht="25.15" customHeight="1" x14ac:dyDescent="0.25">
      <c r="B790" s="55"/>
      <c r="C790" s="51"/>
      <c r="D790" s="75"/>
      <c r="E790" s="53"/>
      <c r="H790" s="53"/>
      <c r="J790" s="53"/>
      <c r="M790" s="53"/>
      <c r="AM790" s="49"/>
    </row>
    <row r="791" spans="2:39" ht="25.15" customHeight="1" x14ac:dyDescent="0.25">
      <c r="B791" s="55"/>
      <c r="C791" s="51"/>
      <c r="D791" s="75"/>
      <c r="E791" s="53"/>
      <c r="H791" s="53"/>
      <c r="J791" s="53"/>
      <c r="M791" s="53"/>
      <c r="AM791" s="49"/>
    </row>
    <row r="792" spans="2:39" ht="25.15" customHeight="1" x14ac:dyDescent="0.25">
      <c r="B792" s="55"/>
      <c r="C792" s="51"/>
      <c r="D792" s="75"/>
      <c r="E792" s="53"/>
      <c r="H792" s="53"/>
      <c r="J792" s="53"/>
      <c r="M792" s="53"/>
      <c r="AM792" s="49"/>
    </row>
    <row r="793" spans="2:39" ht="25.15" customHeight="1" x14ac:dyDescent="0.25">
      <c r="B793" s="55"/>
      <c r="C793" s="51"/>
      <c r="D793" s="75"/>
      <c r="E793" s="53"/>
      <c r="H793" s="53"/>
      <c r="J793" s="53"/>
      <c r="M793" s="53"/>
      <c r="AM793" s="49"/>
    </row>
    <row r="794" spans="2:39" ht="25.15" customHeight="1" x14ac:dyDescent="0.25">
      <c r="B794" s="55"/>
      <c r="C794" s="51"/>
      <c r="D794" s="75"/>
      <c r="E794" s="53"/>
      <c r="H794" s="53"/>
      <c r="J794" s="53"/>
      <c r="M794" s="53"/>
      <c r="AM794" s="49"/>
    </row>
    <row r="795" spans="2:39" ht="25.15" customHeight="1" x14ac:dyDescent="0.25">
      <c r="B795" s="55"/>
      <c r="C795" s="51"/>
      <c r="D795" s="75"/>
      <c r="E795" s="53"/>
      <c r="H795" s="53"/>
      <c r="J795" s="53"/>
      <c r="M795" s="53"/>
      <c r="AM795" s="49"/>
    </row>
    <row r="796" spans="2:39" ht="25.15" customHeight="1" x14ac:dyDescent="0.25">
      <c r="B796" s="55"/>
      <c r="C796" s="51"/>
      <c r="D796" s="75"/>
      <c r="E796" s="53"/>
      <c r="H796" s="53"/>
      <c r="J796" s="53"/>
      <c r="M796" s="53"/>
      <c r="AM796" s="49"/>
    </row>
    <row r="797" spans="2:39" ht="25.15" customHeight="1" x14ac:dyDescent="0.25">
      <c r="B797" s="55"/>
      <c r="C797" s="51"/>
      <c r="D797" s="75"/>
      <c r="E797" s="53"/>
      <c r="H797" s="53"/>
      <c r="J797" s="53"/>
      <c r="M797" s="53"/>
      <c r="AM797" s="49"/>
    </row>
    <row r="798" spans="2:39" ht="25.15" customHeight="1" x14ac:dyDescent="0.25">
      <c r="B798" s="55"/>
      <c r="C798" s="51"/>
      <c r="D798" s="75"/>
      <c r="E798" s="53"/>
      <c r="H798" s="53"/>
      <c r="J798" s="53"/>
      <c r="M798" s="53"/>
      <c r="AM798" s="49"/>
    </row>
    <row r="799" spans="2:39" ht="25.15" customHeight="1" x14ac:dyDescent="0.25">
      <c r="B799" s="55"/>
      <c r="C799" s="51"/>
      <c r="D799" s="75"/>
      <c r="E799" s="53"/>
      <c r="H799" s="53"/>
      <c r="J799" s="53"/>
      <c r="M799" s="53"/>
      <c r="AM799" s="49"/>
    </row>
    <row r="800" spans="2:39" ht="25.15" customHeight="1" x14ac:dyDescent="0.25">
      <c r="B800" s="55"/>
      <c r="C800" s="51"/>
      <c r="D800" s="75"/>
      <c r="E800" s="53"/>
      <c r="H800" s="53"/>
      <c r="J800" s="53"/>
      <c r="M800" s="53"/>
      <c r="AM800" s="49"/>
    </row>
    <row r="801" spans="2:39" ht="25.15" customHeight="1" x14ac:dyDescent="0.25">
      <c r="B801" s="55"/>
      <c r="C801" s="51"/>
      <c r="D801" s="75"/>
      <c r="E801" s="53"/>
      <c r="H801" s="53"/>
      <c r="J801" s="53"/>
      <c r="M801" s="53"/>
      <c r="AM801" s="49"/>
    </row>
    <row r="802" spans="2:39" ht="25.15" customHeight="1" x14ac:dyDescent="0.25">
      <c r="B802" s="55"/>
      <c r="C802" s="51"/>
      <c r="D802" s="75"/>
      <c r="E802" s="53"/>
      <c r="H802" s="53"/>
      <c r="J802" s="53"/>
      <c r="M802" s="53"/>
      <c r="AM802" s="49"/>
    </row>
    <row r="803" spans="2:39" ht="25.15" customHeight="1" x14ac:dyDescent="0.25">
      <c r="B803" s="55"/>
      <c r="C803" s="51"/>
      <c r="D803" s="75"/>
      <c r="E803" s="53"/>
      <c r="H803" s="53"/>
      <c r="J803" s="53"/>
      <c r="M803" s="53"/>
      <c r="AM803" s="49"/>
    </row>
    <row r="804" spans="2:39" ht="25.15" customHeight="1" x14ac:dyDescent="0.25">
      <c r="B804" s="55"/>
      <c r="C804" s="51"/>
      <c r="D804" s="75"/>
      <c r="E804" s="53"/>
      <c r="H804" s="53"/>
      <c r="J804" s="53"/>
      <c r="M804" s="53"/>
      <c r="AM804" s="49"/>
    </row>
    <row r="805" spans="2:39" ht="25.15" customHeight="1" x14ac:dyDescent="0.25">
      <c r="B805" s="55"/>
      <c r="C805" s="51"/>
      <c r="D805" s="75"/>
      <c r="E805" s="53"/>
      <c r="H805" s="53"/>
      <c r="J805" s="53"/>
      <c r="M805" s="53"/>
      <c r="AM805" s="49"/>
    </row>
    <row r="806" spans="2:39" ht="25.15" customHeight="1" x14ac:dyDescent="0.25">
      <c r="B806" s="55"/>
      <c r="C806" s="51"/>
      <c r="D806" s="75"/>
      <c r="E806" s="53"/>
      <c r="H806" s="53"/>
      <c r="J806" s="53"/>
      <c r="M806" s="53"/>
      <c r="AM806" s="49"/>
    </row>
    <row r="807" spans="2:39" ht="25.15" customHeight="1" x14ac:dyDescent="0.25">
      <c r="B807" s="55"/>
      <c r="C807" s="51"/>
      <c r="D807" s="75"/>
      <c r="E807" s="53"/>
      <c r="H807" s="53"/>
      <c r="J807" s="53"/>
      <c r="M807" s="53"/>
      <c r="AM807" s="49"/>
    </row>
    <row r="808" spans="2:39" ht="25.15" customHeight="1" x14ac:dyDescent="0.25">
      <c r="B808" s="55"/>
      <c r="C808" s="51"/>
      <c r="D808" s="75"/>
      <c r="E808" s="53"/>
      <c r="H808" s="53"/>
      <c r="J808" s="53"/>
      <c r="M808" s="53"/>
      <c r="AM808" s="49"/>
    </row>
    <row r="809" spans="2:39" ht="25.15" customHeight="1" x14ac:dyDescent="0.25">
      <c r="B809" s="55"/>
      <c r="C809" s="51"/>
      <c r="D809" s="75"/>
      <c r="E809" s="53"/>
      <c r="H809" s="53"/>
      <c r="J809" s="53"/>
      <c r="M809" s="53"/>
      <c r="AM809" s="49"/>
    </row>
    <row r="810" spans="2:39" ht="25.15" customHeight="1" x14ac:dyDescent="0.25">
      <c r="B810" s="55"/>
      <c r="C810" s="51"/>
      <c r="D810" s="75"/>
      <c r="E810" s="53"/>
      <c r="H810" s="53"/>
      <c r="J810" s="53"/>
      <c r="M810" s="53"/>
      <c r="AM810" s="49"/>
    </row>
    <row r="811" spans="2:39" ht="25.15" customHeight="1" x14ac:dyDescent="0.25">
      <c r="B811" s="55"/>
      <c r="C811" s="51"/>
      <c r="D811" s="75"/>
      <c r="E811" s="53"/>
      <c r="H811" s="53"/>
      <c r="J811" s="53"/>
      <c r="M811" s="53"/>
      <c r="AM811" s="49"/>
    </row>
    <row r="812" spans="2:39" ht="25.15" customHeight="1" x14ac:dyDescent="0.25">
      <c r="B812" s="55"/>
      <c r="C812" s="51"/>
      <c r="D812" s="75"/>
      <c r="E812" s="53"/>
      <c r="H812" s="53"/>
      <c r="J812" s="53"/>
      <c r="M812" s="53"/>
      <c r="AM812" s="49"/>
    </row>
    <row r="813" spans="2:39" ht="25.15" customHeight="1" x14ac:dyDescent="0.25">
      <c r="B813" s="55"/>
      <c r="C813" s="51"/>
      <c r="D813" s="75"/>
      <c r="E813" s="53"/>
      <c r="H813" s="53"/>
      <c r="J813" s="53"/>
      <c r="M813" s="53"/>
      <c r="AM813" s="49"/>
    </row>
    <row r="814" spans="2:39" ht="25.15" customHeight="1" x14ac:dyDescent="0.25">
      <c r="B814" s="55"/>
      <c r="C814" s="51"/>
      <c r="D814" s="75"/>
      <c r="E814" s="53"/>
      <c r="H814" s="53"/>
      <c r="J814" s="53"/>
      <c r="M814" s="53"/>
      <c r="AM814" s="49"/>
    </row>
    <row r="815" spans="2:39" ht="25.15" customHeight="1" x14ac:dyDescent="0.25">
      <c r="B815" s="55"/>
      <c r="C815" s="51"/>
      <c r="D815" s="75"/>
      <c r="E815" s="53"/>
      <c r="H815" s="53"/>
      <c r="J815" s="53"/>
      <c r="M815" s="53"/>
      <c r="AM815" s="49"/>
    </row>
    <row r="816" spans="2:39" ht="25.15" customHeight="1" x14ac:dyDescent="0.25">
      <c r="B816" s="55"/>
      <c r="C816" s="51"/>
      <c r="D816" s="75"/>
      <c r="E816" s="53"/>
      <c r="H816" s="53"/>
      <c r="J816" s="53"/>
      <c r="M816" s="53"/>
      <c r="AM816" s="49"/>
    </row>
    <row r="817" spans="2:39" ht="25.15" customHeight="1" x14ac:dyDescent="0.25">
      <c r="B817" s="55"/>
      <c r="C817" s="51"/>
      <c r="D817" s="75"/>
      <c r="E817" s="53"/>
      <c r="H817" s="53"/>
      <c r="J817" s="53"/>
      <c r="M817" s="53"/>
      <c r="AM817" s="49"/>
    </row>
    <row r="818" spans="2:39" ht="25.15" customHeight="1" x14ac:dyDescent="0.25">
      <c r="B818" s="55"/>
      <c r="C818" s="51"/>
      <c r="D818" s="75"/>
      <c r="E818" s="53"/>
      <c r="H818" s="53"/>
      <c r="J818" s="53"/>
      <c r="M818" s="53"/>
      <c r="AM818" s="49"/>
    </row>
    <row r="819" spans="2:39" ht="25.15" customHeight="1" x14ac:dyDescent="0.25">
      <c r="B819" s="55"/>
      <c r="C819" s="51"/>
      <c r="D819" s="75"/>
      <c r="E819" s="53"/>
      <c r="H819" s="53"/>
      <c r="J819" s="53"/>
      <c r="M819" s="53"/>
      <c r="AM819" s="49"/>
    </row>
    <row r="820" spans="2:39" ht="25.15" customHeight="1" x14ac:dyDescent="0.25">
      <c r="B820" s="55"/>
      <c r="C820" s="51"/>
      <c r="D820" s="75"/>
      <c r="E820" s="53"/>
      <c r="H820" s="53"/>
      <c r="J820" s="53"/>
      <c r="M820" s="53"/>
      <c r="AM820" s="49"/>
    </row>
    <row r="821" spans="2:39" ht="25.15" customHeight="1" x14ac:dyDescent="0.25">
      <c r="B821" s="55"/>
      <c r="C821" s="51"/>
      <c r="D821" s="75"/>
      <c r="E821" s="53"/>
      <c r="H821" s="53"/>
      <c r="J821" s="53"/>
      <c r="M821" s="53"/>
      <c r="AM821" s="49"/>
    </row>
    <row r="822" spans="2:39" ht="25.15" customHeight="1" x14ac:dyDescent="0.25">
      <c r="B822" s="55"/>
      <c r="C822" s="51"/>
      <c r="D822" s="75"/>
      <c r="E822" s="53"/>
      <c r="H822" s="53"/>
      <c r="J822" s="53"/>
      <c r="M822" s="53"/>
      <c r="AM822" s="49"/>
    </row>
    <row r="823" spans="2:39" ht="25.15" customHeight="1" x14ac:dyDescent="0.25">
      <c r="B823" s="55"/>
      <c r="C823" s="51"/>
      <c r="D823" s="75"/>
      <c r="E823" s="53"/>
      <c r="H823" s="53"/>
      <c r="J823" s="53"/>
      <c r="M823" s="53"/>
      <c r="AM823" s="49"/>
    </row>
    <row r="824" spans="2:39" ht="25.15" customHeight="1" x14ac:dyDescent="0.25">
      <c r="B824" s="55"/>
      <c r="C824" s="51"/>
      <c r="D824" s="75"/>
      <c r="E824" s="53"/>
      <c r="H824" s="53"/>
      <c r="J824" s="53"/>
      <c r="M824" s="53"/>
      <c r="AM824" s="49"/>
    </row>
    <row r="825" spans="2:39" ht="25.15" customHeight="1" x14ac:dyDescent="0.25">
      <c r="B825" s="55"/>
      <c r="C825" s="51"/>
      <c r="D825" s="75"/>
      <c r="E825" s="53"/>
      <c r="H825" s="53"/>
      <c r="J825" s="53"/>
      <c r="M825" s="53"/>
      <c r="AM825" s="49"/>
    </row>
    <row r="826" spans="2:39" ht="25.15" customHeight="1" x14ac:dyDescent="0.25">
      <c r="B826" s="55"/>
      <c r="C826" s="51"/>
      <c r="D826" s="75"/>
      <c r="E826" s="53"/>
      <c r="H826" s="53"/>
      <c r="J826" s="53"/>
      <c r="M826" s="53"/>
      <c r="AM826" s="49"/>
    </row>
    <row r="827" spans="2:39" ht="25.15" customHeight="1" x14ac:dyDescent="0.25">
      <c r="B827" s="55"/>
      <c r="C827" s="51"/>
      <c r="D827" s="75"/>
      <c r="E827" s="53"/>
      <c r="H827" s="53"/>
      <c r="J827" s="53"/>
      <c r="M827" s="53"/>
      <c r="AM827" s="49"/>
    </row>
    <row r="828" spans="2:39" ht="25.15" customHeight="1" x14ac:dyDescent="0.25">
      <c r="B828" s="55"/>
      <c r="C828" s="51"/>
      <c r="D828" s="75"/>
      <c r="E828" s="53"/>
      <c r="H828" s="53"/>
      <c r="J828" s="53"/>
      <c r="M828" s="53"/>
      <c r="AM828" s="49"/>
    </row>
    <row r="829" spans="2:39" ht="25.15" customHeight="1" x14ac:dyDescent="0.25">
      <c r="B829" s="55"/>
      <c r="C829" s="51"/>
      <c r="D829" s="75"/>
      <c r="E829" s="53"/>
      <c r="H829" s="53"/>
      <c r="J829" s="53"/>
      <c r="M829" s="53"/>
      <c r="AM829" s="49"/>
    </row>
    <row r="830" spans="2:39" ht="25.15" customHeight="1" x14ac:dyDescent="0.25">
      <c r="B830" s="55"/>
      <c r="C830" s="51"/>
      <c r="D830" s="75"/>
      <c r="E830" s="53"/>
      <c r="H830" s="53"/>
      <c r="J830" s="53"/>
      <c r="M830" s="53"/>
      <c r="AM830" s="49"/>
    </row>
    <row r="831" spans="2:39" ht="25.15" customHeight="1" x14ac:dyDescent="0.25">
      <c r="B831" s="55"/>
      <c r="C831" s="51"/>
      <c r="D831" s="75"/>
      <c r="E831" s="53"/>
      <c r="H831" s="53"/>
      <c r="J831" s="53"/>
      <c r="M831" s="53"/>
      <c r="AM831" s="49"/>
    </row>
    <row r="832" spans="2:39" ht="25.15" customHeight="1" x14ac:dyDescent="0.25">
      <c r="B832" s="55"/>
      <c r="C832" s="51"/>
      <c r="D832" s="75"/>
      <c r="E832" s="53"/>
      <c r="H832" s="53"/>
      <c r="J832" s="53"/>
      <c r="M832" s="53"/>
      <c r="AM832" s="49"/>
    </row>
    <row r="833" spans="2:39" ht="25.15" customHeight="1" x14ac:dyDescent="0.25">
      <c r="B833" s="55"/>
      <c r="C833" s="51"/>
      <c r="D833" s="75"/>
      <c r="E833" s="53"/>
      <c r="H833" s="53"/>
      <c r="J833" s="53"/>
      <c r="M833" s="53"/>
      <c r="AM833" s="49"/>
    </row>
    <row r="834" spans="2:39" ht="25.15" customHeight="1" x14ac:dyDescent="0.25">
      <c r="B834" s="55"/>
      <c r="C834" s="51"/>
      <c r="D834" s="75"/>
      <c r="E834" s="53"/>
      <c r="H834" s="53"/>
      <c r="J834" s="53"/>
      <c r="M834" s="53"/>
      <c r="AM834" s="49"/>
    </row>
    <row r="835" spans="2:39" ht="25.15" customHeight="1" x14ac:dyDescent="0.25">
      <c r="B835" s="55"/>
      <c r="C835" s="51"/>
      <c r="D835" s="75"/>
      <c r="E835" s="53"/>
      <c r="H835" s="53"/>
      <c r="J835" s="53"/>
      <c r="M835" s="53"/>
      <c r="AM835" s="49"/>
    </row>
    <row r="836" spans="2:39" ht="25.15" customHeight="1" x14ac:dyDescent="0.25">
      <c r="B836" s="55"/>
      <c r="C836" s="51"/>
      <c r="D836" s="75"/>
      <c r="E836" s="53"/>
      <c r="H836" s="53"/>
      <c r="J836" s="53"/>
      <c r="M836" s="53"/>
      <c r="AM836" s="49"/>
    </row>
    <row r="837" spans="2:39" ht="25.15" customHeight="1" x14ac:dyDescent="0.25">
      <c r="B837" s="55"/>
      <c r="C837" s="51"/>
      <c r="D837" s="75"/>
      <c r="E837" s="53"/>
      <c r="H837" s="53"/>
      <c r="J837" s="53"/>
      <c r="M837" s="53"/>
      <c r="AM837" s="49"/>
    </row>
    <row r="838" spans="2:39" ht="25.15" customHeight="1" x14ac:dyDescent="0.25">
      <c r="B838" s="55"/>
      <c r="C838" s="51"/>
      <c r="D838" s="75"/>
      <c r="E838" s="53"/>
      <c r="H838" s="53"/>
      <c r="J838" s="53"/>
      <c r="M838" s="53"/>
      <c r="AM838" s="49"/>
    </row>
    <row r="839" spans="2:39" ht="25.15" customHeight="1" x14ac:dyDescent="0.25">
      <c r="B839" s="55"/>
      <c r="C839" s="51"/>
      <c r="D839" s="75"/>
      <c r="E839" s="53"/>
      <c r="H839" s="53"/>
      <c r="J839" s="53"/>
      <c r="M839" s="53"/>
      <c r="AM839" s="49"/>
    </row>
    <row r="840" spans="2:39" ht="25.15" customHeight="1" x14ac:dyDescent="0.25">
      <c r="B840" s="55"/>
      <c r="C840" s="51"/>
      <c r="D840" s="75"/>
      <c r="E840" s="53"/>
      <c r="H840" s="53"/>
      <c r="J840" s="53"/>
      <c r="M840" s="53"/>
      <c r="AM840" s="49"/>
    </row>
    <row r="841" spans="2:39" ht="25.15" customHeight="1" x14ac:dyDescent="0.25">
      <c r="B841" s="55"/>
      <c r="C841" s="51"/>
      <c r="D841" s="75"/>
      <c r="E841" s="53"/>
      <c r="H841" s="53"/>
      <c r="J841" s="53"/>
      <c r="M841" s="53"/>
      <c r="AM841" s="49"/>
    </row>
    <row r="842" spans="2:39" ht="25.15" customHeight="1" x14ac:dyDescent="0.25">
      <c r="B842" s="55"/>
      <c r="C842" s="51"/>
      <c r="D842" s="75"/>
      <c r="E842" s="53"/>
      <c r="H842" s="53"/>
      <c r="J842" s="53"/>
      <c r="M842" s="53"/>
      <c r="AM842" s="49"/>
    </row>
    <row r="843" spans="2:39" ht="25.15" customHeight="1" x14ac:dyDescent="0.25">
      <c r="B843" s="55"/>
      <c r="C843" s="51"/>
      <c r="D843" s="75"/>
      <c r="E843" s="53"/>
      <c r="H843" s="53"/>
      <c r="J843" s="53"/>
      <c r="M843" s="53"/>
      <c r="AM843" s="49"/>
    </row>
    <row r="844" spans="2:39" ht="25.15" customHeight="1" x14ac:dyDescent="0.25">
      <c r="B844" s="55"/>
      <c r="C844" s="51"/>
      <c r="D844" s="75"/>
      <c r="E844" s="53"/>
      <c r="H844" s="53"/>
      <c r="J844" s="53"/>
      <c r="M844" s="53"/>
      <c r="AM844" s="49"/>
    </row>
    <row r="845" spans="2:39" ht="25.15" customHeight="1" x14ac:dyDescent="0.25">
      <c r="B845" s="55"/>
      <c r="C845" s="51"/>
      <c r="D845" s="75"/>
      <c r="E845" s="53"/>
      <c r="H845" s="53"/>
      <c r="J845" s="53"/>
      <c r="M845" s="53"/>
      <c r="AM845" s="49"/>
    </row>
    <row r="846" spans="2:39" ht="25.15" customHeight="1" x14ac:dyDescent="0.25">
      <c r="B846" s="55"/>
      <c r="C846" s="51"/>
      <c r="D846" s="75"/>
      <c r="E846" s="53"/>
      <c r="H846" s="53"/>
      <c r="J846" s="53"/>
      <c r="M846" s="53"/>
      <c r="AM846" s="49"/>
    </row>
    <row r="847" spans="2:39" ht="25.15" customHeight="1" x14ac:dyDescent="0.25">
      <c r="B847" s="55"/>
      <c r="C847" s="51"/>
      <c r="D847" s="75"/>
      <c r="E847" s="53"/>
      <c r="H847" s="53"/>
      <c r="J847" s="53"/>
      <c r="M847" s="53"/>
      <c r="AM847" s="49"/>
    </row>
    <row r="848" spans="2:39" ht="25.15" customHeight="1" x14ac:dyDescent="0.25">
      <c r="B848" s="55"/>
      <c r="C848" s="51"/>
      <c r="D848" s="75"/>
      <c r="E848" s="53"/>
      <c r="H848" s="53"/>
      <c r="J848" s="53"/>
      <c r="M848" s="53"/>
      <c r="AM848" s="49"/>
    </row>
    <row r="849" spans="2:39" ht="25.15" customHeight="1" x14ac:dyDescent="0.25">
      <c r="B849" s="55"/>
      <c r="C849" s="51"/>
      <c r="D849" s="75"/>
      <c r="E849" s="53"/>
      <c r="H849" s="53"/>
      <c r="J849" s="53"/>
      <c r="M849" s="53"/>
      <c r="AM849" s="49"/>
    </row>
    <row r="850" spans="2:39" ht="25.15" customHeight="1" x14ac:dyDescent="0.25">
      <c r="B850" s="55"/>
      <c r="C850" s="51"/>
      <c r="D850" s="75"/>
      <c r="E850" s="53"/>
      <c r="H850" s="53"/>
      <c r="J850" s="53"/>
      <c r="M850" s="53"/>
      <c r="AM850" s="49"/>
    </row>
    <row r="851" spans="2:39" ht="25.15" customHeight="1" x14ac:dyDescent="0.25">
      <c r="B851" s="55"/>
      <c r="C851" s="51"/>
      <c r="D851" s="75"/>
      <c r="E851" s="53"/>
      <c r="H851" s="53"/>
      <c r="J851" s="53"/>
      <c r="M851" s="53"/>
      <c r="AM851" s="49"/>
    </row>
    <row r="852" spans="2:39" ht="25.15" customHeight="1" x14ac:dyDescent="0.25">
      <c r="B852" s="55"/>
      <c r="C852" s="51"/>
      <c r="D852" s="75"/>
      <c r="E852" s="53"/>
      <c r="H852" s="53"/>
      <c r="J852" s="53"/>
      <c r="M852" s="53"/>
      <c r="AM852" s="49"/>
    </row>
    <row r="853" spans="2:39" ht="25.15" customHeight="1" x14ac:dyDescent="0.25">
      <c r="B853" s="55"/>
      <c r="C853" s="51"/>
      <c r="D853" s="75"/>
      <c r="E853" s="53"/>
      <c r="H853" s="53"/>
      <c r="J853" s="53"/>
      <c r="M853" s="53"/>
      <c r="AM853" s="49"/>
    </row>
    <row r="854" spans="2:39" ht="25.15" customHeight="1" x14ac:dyDescent="0.25">
      <c r="B854" s="55"/>
      <c r="C854" s="51"/>
      <c r="D854" s="75"/>
      <c r="E854" s="53"/>
      <c r="H854" s="53"/>
      <c r="J854" s="53"/>
      <c r="M854" s="53"/>
      <c r="AM854" s="49"/>
    </row>
    <row r="855" spans="2:39" ht="25.15" customHeight="1" x14ac:dyDescent="0.25">
      <c r="B855" s="55"/>
      <c r="C855" s="51"/>
      <c r="D855" s="75"/>
      <c r="E855" s="53"/>
      <c r="H855" s="53"/>
      <c r="J855" s="53"/>
      <c r="M855" s="53"/>
      <c r="AM855" s="49"/>
    </row>
    <row r="856" spans="2:39" ht="25.15" customHeight="1" x14ac:dyDescent="0.25">
      <c r="B856" s="55"/>
      <c r="C856" s="51"/>
      <c r="D856" s="75"/>
      <c r="E856" s="53"/>
      <c r="H856" s="53"/>
      <c r="J856" s="53"/>
      <c r="M856" s="53"/>
      <c r="AM856" s="49"/>
    </row>
    <row r="857" spans="2:39" ht="25.15" customHeight="1" x14ac:dyDescent="0.25">
      <c r="B857" s="55"/>
      <c r="C857" s="51"/>
      <c r="D857" s="75"/>
      <c r="E857" s="53"/>
      <c r="H857" s="53"/>
      <c r="J857" s="53"/>
      <c r="M857" s="53"/>
      <c r="AM857" s="49"/>
    </row>
    <row r="858" spans="2:39" ht="25.15" customHeight="1" x14ac:dyDescent="0.25">
      <c r="B858" s="55"/>
      <c r="C858" s="51"/>
      <c r="D858" s="75"/>
      <c r="E858" s="53"/>
      <c r="H858" s="53"/>
      <c r="J858" s="53"/>
      <c r="M858" s="53"/>
      <c r="AM858" s="49"/>
    </row>
    <row r="859" spans="2:39" ht="25.15" customHeight="1" x14ac:dyDescent="0.25">
      <c r="B859" s="55"/>
      <c r="C859" s="51"/>
      <c r="D859" s="75"/>
      <c r="E859" s="53"/>
      <c r="H859" s="53"/>
      <c r="J859" s="53"/>
      <c r="M859" s="53"/>
      <c r="AM859" s="49"/>
    </row>
    <row r="860" spans="2:39" ht="25.15" customHeight="1" x14ac:dyDescent="0.25">
      <c r="B860" s="55"/>
      <c r="C860" s="51"/>
      <c r="D860" s="75"/>
      <c r="E860" s="53"/>
      <c r="H860" s="53"/>
      <c r="J860" s="53"/>
      <c r="M860" s="53"/>
      <c r="AM860" s="49"/>
    </row>
    <row r="861" spans="2:39" ht="25.15" customHeight="1" x14ac:dyDescent="0.25">
      <c r="B861" s="55"/>
      <c r="C861" s="51"/>
      <c r="D861" s="75"/>
      <c r="E861" s="53"/>
      <c r="H861" s="53"/>
      <c r="J861" s="53"/>
      <c r="M861" s="53"/>
      <c r="AM861" s="49"/>
    </row>
    <row r="862" spans="2:39" ht="25.15" customHeight="1" x14ac:dyDescent="0.25">
      <c r="B862" s="55"/>
      <c r="C862" s="51"/>
      <c r="D862" s="75"/>
      <c r="E862" s="53"/>
      <c r="H862" s="53"/>
      <c r="J862" s="53"/>
      <c r="M862" s="53"/>
      <c r="AM862" s="49"/>
    </row>
    <row r="863" spans="2:39" ht="25.15" customHeight="1" x14ac:dyDescent="0.25">
      <c r="B863" s="55"/>
      <c r="C863" s="51"/>
      <c r="D863" s="75"/>
      <c r="E863" s="53"/>
      <c r="H863" s="53"/>
      <c r="J863" s="53"/>
      <c r="M863" s="53"/>
      <c r="AM863" s="49"/>
    </row>
    <row r="864" spans="2:39" ht="25.15" customHeight="1" x14ac:dyDescent="0.25">
      <c r="B864" s="55"/>
      <c r="C864" s="51"/>
      <c r="D864" s="75"/>
      <c r="E864" s="53"/>
      <c r="H864" s="53"/>
      <c r="J864" s="53"/>
      <c r="M864" s="53"/>
      <c r="AM864" s="49"/>
    </row>
    <row r="865" spans="2:39" ht="25.15" customHeight="1" x14ac:dyDescent="0.25">
      <c r="B865" s="55"/>
      <c r="C865" s="51"/>
      <c r="D865" s="75"/>
      <c r="E865" s="53"/>
      <c r="H865" s="53"/>
      <c r="J865" s="53"/>
      <c r="M865" s="53"/>
      <c r="AM865" s="49"/>
    </row>
    <row r="866" spans="2:39" ht="25.15" customHeight="1" x14ac:dyDescent="0.25">
      <c r="B866" s="55"/>
      <c r="C866" s="51"/>
      <c r="D866" s="75"/>
      <c r="E866" s="53"/>
      <c r="H866" s="53"/>
      <c r="J866" s="53"/>
      <c r="M866" s="53"/>
      <c r="AM866" s="49"/>
    </row>
    <row r="867" spans="2:39" ht="25.15" customHeight="1" x14ac:dyDescent="0.25">
      <c r="B867" s="55"/>
      <c r="C867" s="51"/>
      <c r="D867" s="75"/>
      <c r="E867" s="53"/>
      <c r="H867" s="53"/>
      <c r="J867" s="53"/>
      <c r="M867" s="53"/>
      <c r="AM867" s="49"/>
    </row>
    <row r="868" spans="2:39" ht="25.15" customHeight="1" x14ac:dyDescent="0.25">
      <c r="B868" s="55"/>
      <c r="C868" s="51"/>
      <c r="D868" s="75"/>
      <c r="E868" s="53"/>
      <c r="H868" s="53"/>
      <c r="J868" s="53"/>
      <c r="M868" s="53"/>
      <c r="AM868" s="49"/>
    </row>
    <row r="869" spans="2:39" ht="25.15" customHeight="1" x14ac:dyDescent="0.25">
      <c r="B869" s="55"/>
      <c r="C869" s="51"/>
      <c r="D869" s="75"/>
      <c r="E869" s="53"/>
      <c r="H869" s="53"/>
      <c r="J869" s="53"/>
      <c r="M869" s="53"/>
      <c r="AM869" s="49"/>
    </row>
    <row r="870" spans="2:39" ht="25.15" customHeight="1" x14ac:dyDescent="0.25">
      <c r="B870" s="55"/>
      <c r="C870" s="51"/>
      <c r="D870" s="75"/>
      <c r="E870" s="53"/>
      <c r="H870" s="53"/>
      <c r="J870" s="53"/>
      <c r="M870" s="53"/>
      <c r="AM870" s="49"/>
    </row>
    <row r="871" spans="2:39" ht="25.15" customHeight="1" x14ac:dyDescent="0.25">
      <c r="B871" s="55"/>
      <c r="C871" s="51"/>
      <c r="D871" s="75"/>
      <c r="E871" s="53"/>
      <c r="H871" s="53"/>
      <c r="J871" s="53"/>
      <c r="M871" s="53"/>
      <c r="AM871" s="49"/>
    </row>
    <row r="872" spans="2:39" ht="25.15" customHeight="1" x14ac:dyDescent="0.25">
      <c r="B872" s="55"/>
      <c r="C872" s="51"/>
      <c r="D872" s="75"/>
      <c r="E872" s="53"/>
      <c r="H872" s="53"/>
      <c r="J872" s="53"/>
      <c r="M872" s="53"/>
      <c r="AM872" s="49"/>
    </row>
    <row r="873" spans="2:39" ht="25.15" customHeight="1" x14ac:dyDescent="0.25">
      <c r="B873" s="55"/>
      <c r="C873" s="51"/>
      <c r="D873" s="75"/>
      <c r="E873" s="53"/>
      <c r="H873" s="53"/>
      <c r="J873" s="53"/>
      <c r="M873" s="53"/>
      <c r="AM873" s="49"/>
    </row>
    <row r="874" spans="2:39" ht="25.15" customHeight="1" x14ac:dyDescent="0.25">
      <c r="B874" s="55"/>
      <c r="C874" s="51"/>
      <c r="D874" s="75"/>
      <c r="E874" s="53"/>
      <c r="H874" s="53"/>
      <c r="J874" s="53"/>
      <c r="M874" s="53"/>
      <c r="AM874" s="49"/>
    </row>
    <row r="875" spans="2:39" ht="25.15" customHeight="1" x14ac:dyDescent="0.25">
      <c r="B875" s="55"/>
      <c r="C875" s="51"/>
      <c r="D875" s="75"/>
      <c r="E875" s="53"/>
      <c r="H875" s="53"/>
      <c r="J875" s="53"/>
      <c r="M875" s="53"/>
      <c r="AM875" s="49"/>
    </row>
    <row r="876" spans="2:39" ht="25.15" customHeight="1" x14ac:dyDescent="0.25">
      <c r="B876" s="55"/>
      <c r="C876" s="51"/>
      <c r="D876" s="75"/>
      <c r="E876" s="53"/>
      <c r="H876" s="53"/>
      <c r="J876" s="53"/>
      <c r="M876" s="53"/>
      <c r="AM876" s="49"/>
    </row>
    <row r="877" spans="2:39" ht="25.15" customHeight="1" x14ac:dyDescent="0.25">
      <c r="B877" s="55"/>
      <c r="C877" s="51"/>
      <c r="D877" s="75"/>
      <c r="E877" s="53"/>
      <c r="H877" s="53"/>
      <c r="J877" s="53"/>
      <c r="M877" s="53"/>
      <c r="AM877" s="49"/>
    </row>
    <row r="878" spans="2:39" ht="25.15" customHeight="1" x14ac:dyDescent="0.25">
      <c r="B878" s="55"/>
      <c r="C878" s="51"/>
      <c r="D878" s="75"/>
      <c r="E878" s="53"/>
      <c r="H878" s="53"/>
      <c r="J878" s="53"/>
      <c r="M878" s="53"/>
      <c r="AM878" s="49"/>
    </row>
    <row r="879" spans="2:39" ht="25.15" customHeight="1" x14ac:dyDescent="0.25">
      <c r="B879" s="55"/>
      <c r="C879" s="51"/>
      <c r="D879" s="75"/>
      <c r="E879" s="53"/>
      <c r="H879" s="53"/>
      <c r="J879" s="53"/>
      <c r="M879" s="53"/>
      <c r="AM879" s="49"/>
    </row>
    <row r="880" spans="2:39" ht="25.15" customHeight="1" x14ac:dyDescent="0.25">
      <c r="B880" s="55"/>
      <c r="C880" s="51"/>
      <c r="D880" s="75"/>
      <c r="E880" s="53"/>
      <c r="H880" s="53"/>
      <c r="J880" s="53"/>
      <c r="M880" s="53"/>
      <c r="AM880" s="49"/>
    </row>
    <row r="881" spans="2:39" ht="25.15" customHeight="1" x14ac:dyDescent="0.25">
      <c r="B881" s="55"/>
      <c r="C881" s="51"/>
      <c r="D881" s="75"/>
      <c r="E881" s="53"/>
      <c r="H881" s="53"/>
      <c r="J881" s="53"/>
      <c r="M881" s="53"/>
      <c r="AM881" s="49"/>
    </row>
    <row r="882" spans="2:39" ht="25.15" customHeight="1" x14ac:dyDescent="0.25">
      <c r="B882" s="55"/>
      <c r="C882" s="51"/>
      <c r="D882" s="75"/>
      <c r="E882" s="53"/>
      <c r="H882" s="53"/>
      <c r="J882" s="53"/>
      <c r="M882" s="53"/>
      <c r="AM882" s="49"/>
    </row>
    <row r="883" spans="2:39" ht="25.15" customHeight="1" x14ac:dyDescent="0.25">
      <c r="B883" s="55"/>
      <c r="C883" s="51"/>
      <c r="D883" s="75"/>
      <c r="E883" s="53"/>
      <c r="H883" s="53"/>
      <c r="J883" s="53"/>
      <c r="M883" s="53"/>
      <c r="AM883" s="49"/>
    </row>
    <row r="884" spans="2:39" ht="25.15" customHeight="1" x14ac:dyDescent="0.25">
      <c r="B884" s="55"/>
      <c r="C884" s="51"/>
      <c r="D884" s="75"/>
      <c r="E884" s="53"/>
      <c r="H884" s="53"/>
      <c r="J884" s="53"/>
      <c r="M884" s="53"/>
      <c r="AM884" s="49"/>
    </row>
    <row r="885" spans="2:39" ht="25.15" customHeight="1" x14ac:dyDescent="0.25">
      <c r="B885" s="55"/>
      <c r="C885" s="51"/>
      <c r="D885" s="75"/>
      <c r="E885" s="53"/>
      <c r="H885" s="53"/>
      <c r="J885" s="53"/>
      <c r="M885" s="53"/>
      <c r="AM885" s="49"/>
    </row>
    <row r="886" spans="2:39" ht="25.15" customHeight="1" x14ac:dyDescent="0.25">
      <c r="B886" s="55"/>
      <c r="C886" s="51"/>
      <c r="D886" s="75"/>
      <c r="E886" s="53"/>
      <c r="H886" s="53"/>
      <c r="J886" s="53"/>
      <c r="M886" s="53"/>
      <c r="AM886" s="49"/>
    </row>
    <row r="887" spans="2:39" ht="25.15" customHeight="1" x14ac:dyDescent="0.25">
      <c r="B887" s="55"/>
      <c r="C887" s="51"/>
      <c r="D887" s="75"/>
      <c r="E887" s="53"/>
      <c r="H887" s="53"/>
      <c r="J887" s="53"/>
      <c r="M887" s="53"/>
      <c r="AM887" s="49"/>
    </row>
    <row r="888" spans="2:39" ht="25.15" customHeight="1" x14ac:dyDescent="0.25">
      <c r="B888" s="55"/>
      <c r="C888" s="51"/>
      <c r="D888" s="75"/>
      <c r="E888" s="53"/>
      <c r="H888" s="53"/>
      <c r="J888" s="53"/>
      <c r="M888" s="53"/>
      <c r="AM888" s="49"/>
    </row>
    <row r="889" spans="2:39" ht="25.15" customHeight="1" x14ac:dyDescent="0.25">
      <c r="B889" s="55"/>
      <c r="C889" s="51"/>
      <c r="D889" s="75"/>
      <c r="E889" s="53"/>
      <c r="H889" s="53"/>
      <c r="J889" s="53"/>
      <c r="M889" s="53"/>
      <c r="AM889" s="49"/>
    </row>
    <row r="890" spans="2:39" ht="25.15" customHeight="1" x14ac:dyDescent="0.25">
      <c r="B890" s="55"/>
      <c r="C890" s="51"/>
      <c r="D890" s="75"/>
      <c r="E890" s="53"/>
      <c r="H890" s="53"/>
      <c r="J890" s="53"/>
      <c r="M890" s="53"/>
      <c r="AM890" s="49"/>
    </row>
    <row r="891" spans="2:39" ht="25.15" customHeight="1" x14ac:dyDescent="0.25">
      <c r="B891" s="55"/>
      <c r="C891" s="51"/>
      <c r="D891" s="75"/>
      <c r="E891" s="53"/>
      <c r="H891" s="53"/>
      <c r="J891" s="53"/>
      <c r="M891" s="53"/>
      <c r="AM891" s="49"/>
    </row>
    <row r="892" spans="2:39" ht="25.15" customHeight="1" x14ac:dyDescent="0.25">
      <c r="B892" s="55"/>
      <c r="C892" s="51"/>
      <c r="D892" s="75"/>
      <c r="E892" s="53"/>
      <c r="H892" s="53"/>
      <c r="J892" s="53"/>
      <c r="M892" s="53"/>
      <c r="AM892" s="49"/>
    </row>
    <row r="893" spans="2:39" ht="25.15" customHeight="1" x14ac:dyDescent="0.25">
      <c r="B893" s="55"/>
      <c r="C893" s="51"/>
      <c r="D893" s="75"/>
      <c r="E893" s="53"/>
      <c r="H893" s="53"/>
      <c r="J893" s="53"/>
      <c r="M893" s="53"/>
      <c r="AM893" s="49"/>
    </row>
    <row r="894" spans="2:39" ht="25.15" customHeight="1" x14ac:dyDescent="0.25">
      <c r="B894" s="55"/>
      <c r="C894" s="51"/>
      <c r="D894" s="75"/>
      <c r="E894" s="53"/>
      <c r="H894" s="53"/>
      <c r="J894" s="53"/>
      <c r="M894" s="53"/>
      <c r="AM894" s="49"/>
    </row>
    <row r="895" spans="2:39" ht="25.15" customHeight="1" x14ac:dyDescent="0.25">
      <c r="B895" s="55"/>
      <c r="C895" s="51"/>
      <c r="D895" s="75"/>
      <c r="E895" s="53"/>
      <c r="H895" s="53"/>
      <c r="J895" s="53"/>
      <c r="M895" s="53"/>
      <c r="AM895" s="49"/>
    </row>
    <row r="896" spans="2:39" ht="25.15" customHeight="1" x14ac:dyDescent="0.25">
      <c r="B896" s="55"/>
      <c r="C896" s="51"/>
      <c r="D896" s="75"/>
      <c r="E896" s="53"/>
      <c r="H896" s="53"/>
      <c r="J896" s="53"/>
      <c r="M896" s="53"/>
      <c r="AM896" s="49"/>
    </row>
    <row r="897" spans="2:39" ht="25.15" customHeight="1" x14ac:dyDescent="0.25">
      <c r="B897" s="55"/>
      <c r="C897" s="51"/>
      <c r="D897" s="75"/>
      <c r="E897" s="53"/>
      <c r="H897" s="53"/>
      <c r="J897" s="53"/>
      <c r="M897" s="53"/>
      <c r="AM897" s="49"/>
    </row>
    <row r="898" spans="2:39" ht="25.15" customHeight="1" x14ac:dyDescent="0.25">
      <c r="B898" s="55"/>
      <c r="C898" s="51"/>
      <c r="D898" s="75"/>
      <c r="E898" s="53"/>
      <c r="H898" s="53"/>
      <c r="J898" s="53"/>
      <c r="M898" s="53"/>
      <c r="AM898" s="49"/>
    </row>
    <row r="899" spans="2:39" ht="25.15" customHeight="1" x14ac:dyDescent="0.25">
      <c r="B899" s="55"/>
      <c r="C899" s="51"/>
      <c r="D899" s="75"/>
      <c r="E899" s="53"/>
      <c r="H899" s="53"/>
      <c r="J899" s="53"/>
      <c r="M899" s="53"/>
      <c r="AM899" s="49"/>
    </row>
    <row r="900" spans="2:39" ht="25.15" customHeight="1" x14ac:dyDescent="0.25">
      <c r="B900" s="55"/>
      <c r="C900" s="51"/>
      <c r="D900" s="75"/>
      <c r="E900" s="53"/>
      <c r="H900" s="53"/>
      <c r="J900" s="53"/>
      <c r="M900" s="53"/>
      <c r="AM900" s="49"/>
    </row>
    <row r="901" spans="2:39" ht="25.15" customHeight="1" x14ac:dyDescent="0.25">
      <c r="B901" s="55"/>
      <c r="C901" s="51"/>
      <c r="D901" s="75"/>
      <c r="E901" s="53"/>
      <c r="H901" s="53"/>
      <c r="J901" s="53"/>
      <c r="M901" s="53"/>
      <c r="AM901" s="49"/>
    </row>
    <row r="902" spans="2:39" ht="25.15" customHeight="1" x14ac:dyDescent="0.25">
      <c r="B902" s="55"/>
      <c r="C902" s="51"/>
      <c r="D902" s="75"/>
      <c r="E902" s="53"/>
      <c r="H902" s="53"/>
      <c r="J902" s="53"/>
      <c r="M902" s="53"/>
      <c r="AM902" s="49"/>
    </row>
    <row r="903" spans="2:39" ht="25.15" customHeight="1" x14ac:dyDescent="0.25">
      <c r="B903" s="55"/>
      <c r="C903" s="51"/>
      <c r="D903" s="75"/>
      <c r="E903" s="53"/>
      <c r="H903" s="53"/>
      <c r="J903" s="53"/>
      <c r="M903" s="53"/>
      <c r="AM903" s="49"/>
    </row>
    <row r="904" spans="2:39" ht="25.15" customHeight="1" x14ac:dyDescent="0.25">
      <c r="B904" s="55"/>
      <c r="C904" s="51"/>
      <c r="D904" s="75"/>
      <c r="E904" s="53"/>
      <c r="H904" s="53"/>
      <c r="J904" s="53"/>
      <c r="M904" s="53"/>
      <c r="AM904" s="49"/>
    </row>
    <row r="905" spans="2:39" ht="25.15" customHeight="1" x14ac:dyDescent="0.25">
      <c r="B905" s="55"/>
      <c r="C905" s="51"/>
      <c r="D905" s="75"/>
      <c r="E905" s="53"/>
      <c r="H905" s="53"/>
      <c r="J905" s="53"/>
      <c r="M905" s="53"/>
      <c r="AM905" s="49"/>
    </row>
    <row r="906" spans="2:39" ht="25.15" customHeight="1" x14ac:dyDescent="0.25">
      <c r="B906" s="55"/>
      <c r="C906" s="51"/>
      <c r="D906" s="75"/>
      <c r="E906" s="53"/>
      <c r="H906" s="53"/>
      <c r="J906" s="53"/>
      <c r="M906" s="53"/>
      <c r="AM906" s="49"/>
    </row>
    <row r="907" spans="2:39" ht="25.15" customHeight="1" x14ac:dyDescent="0.25">
      <c r="B907" s="55"/>
      <c r="C907" s="51"/>
      <c r="D907" s="75"/>
      <c r="E907" s="53"/>
      <c r="H907" s="53"/>
      <c r="J907" s="53"/>
      <c r="M907" s="53"/>
      <c r="AM907" s="49"/>
    </row>
    <row r="908" spans="2:39" ht="25.15" customHeight="1" x14ac:dyDescent="0.25">
      <c r="B908" s="55"/>
      <c r="C908" s="51"/>
      <c r="D908" s="75"/>
      <c r="E908" s="53"/>
      <c r="H908" s="53"/>
      <c r="J908" s="53"/>
      <c r="M908" s="53"/>
      <c r="AM908" s="49"/>
    </row>
    <row r="909" spans="2:39" ht="25.15" customHeight="1" x14ac:dyDescent="0.25">
      <c r="B909" s="55"/>
      <c r="C909" s="51"/>
      <c r="D909" s="75"/>
      <c r="E909" s="53"/>
      <c r="H909" s="53"/>
      <c r="J909" s="53"/>
      <c r="M909" s="53"/>
      <c r="AM909" s="49"/>
    </row>
    <row r="910" spans="2:39" ht="25.15" customHeight="1" x14ac:dyDescent="0.25">
      <c r="B910" s="55"/>
      <c r="C910" s="51"/>
      <c r="D910" s="75"/>
      <c r="E910" s="53"/>
      <c r="H910" s="53"/>
      <c r="J910" s="53"/>
      <c r="M910" s="53"/>
      <c r="AM910" s="49"/>
    </row>
    <row r="911" spans="2:39" ht="25.15" customHeight="1" x14ac:dyDescent="0.25">
      <c r="B911" s="55"/>
      <c r="C911" s="51"/>
      <c r="D911" s="75"/>
      <c r="E911" s="53"/>
      <c r="H911" s="53"/>
      <c r="J911" s="53"/>
      <c r="M911" s="53"/>
      <c r="AM911" s="49"/>
    </row>
    <row r="912" spans="2:39" ht="25.15" customHeight="1" x14ac:dyDescent="0.25">
      <c r="B912" s="55"/>
      <c r="C912" s="51"/>
      <c r="D912" s="75"/>
      <c r="E912" s="53"/>
      <c r="H912" s="53"/>
      <c r="J912" s="53"/>
      <c r="M912" s="53"/>
      <c r="AM912" s="49"/>
    </row>
    <row r="913" spans="2:39" ht="25.15" customHeight="1" x14ac:dyDescent="0.25">
      <c r="B913" s="55"/>
      <c r="C913" s="51"/>
      <c r="D913" s="75"/>
      <c r="E913" s="53"/>
      <c r="H913" s="53"/>
      <c r="J913" s="53"/>
      <c r="M913" s="53"/>
      <c r="AM913" s="49"/>
    </row>
    <row r="914" spans="2:39" ht="25.15" customHeight="1" x14ac:dyDescent="0.25">
      <c r="B914" s="55"/>
      <c r="C914" s="51"/>
      <c r="D914" s="75"/>
      <c r="E914" s="53"/>
      <c r="H914" s="53"/>
      <c r="J914" s="53"/>
      <c r="M914" s="53"/>
      <c r="AM914" s="49"/>
    </row>
    <row r="915" spans="2:39" ht="25.15" customHeight="1" x14ac:dyDescent="0.25">
      <c r="B915" s="55"/>
      <c r="C915" s="51"/>
      <c r="D915" s="75"/>
      <c r="E915" s="53"/>
      <c r="H915" s="53"/>
      <c r="J915" s="53"/>
      <c r="M915" s="53"/>
      <c r="AM915" s="49"/>
    </row>
    <row r="916" spans="2:39" ht="25.15" customHeight="1" x14ac:dyDescent="0.25">
      <c r="B916" s="55"/>
      <c r="C916" s="51"/>
      <c r="D916" s="75"/>
      <c r="E916" s="53"/>
      <c r="H916" s="53"/>
      <c r="J916" s="53"/>
      <c r="M916" s="53"/>
      <c r="AM916" s="49"/>
    </row>
    <row r="917" spans="2:39" ht="25.15" customHeight="1" x14ac:dyDescent="0.25">
      <c r="B917" s="55"/>
      <c r="C917" s="51"/>
      <c r="D917" s="75"/>
      <c r="E917" s="53"/>
      <c r="H917" s="53"/>
      <c r="J917" s="53"/>
      <c r="M917" s="53"/>
      <c r="AM917" s="49"/>
    </row>
    <row r="918" spans="2:39" ht="25.15" customHeight="1" x14ac:dyDescent="0.25">
      <c r="B918" s="55"/>
      <c r="C918" s="51"/>
      <c r="D918" s="75"/>
      <c r="E918" s="53"/>
      <c r="H918" s="53"/>
      <c r="J918" s="53"/>
      <c r="M918" s="53"/>
      <c r="AM918" s="49"/>
    </row>
    <row r="919" spans="2:39" ht="25.15" customHeight="1" x14ac:dyDescent="0.25">
      <c r="B919" s="55"/>
      <c r="C919" s="51"/>
      <c r="D919" s="75"/>
      <c r="E919" s="53"/>
      <c r="H919" s="53"/>
      <c r="J919" s="53"/>
      <c r="M919" s="53"/>
      <c r="AM919" s="49"/>
    </row>
    <row r="920" spans="2:39" ht="25.15" customHeight="1" x14ac:dyDescent="0.25">
      <c r="B920" s="55"/>
      <c r="C920" s="51"/>
      <c r="D920" s="75"/>
      <c r="E920" s="53"/>
      <c r="H920" s="53"/>
      <c r="J920" s="53"/>
      <c r="M920" s="53"/>
      <c r="AM920" s="49"/>
    </row>
    <row r="921" spans="2:39" ht="25.15" customHeight="1" x14ac:dyDescent="0.25">
      <c r="B921" s="55"/>
      <c r="C921" s="51"/>
      <c r="D921" s="75"/>
      <c r="E921" s="53"/>
      <c r="H921" s="53"/>
      <c r="J921" s="53"/>
      <c r="M921" s="53"/>
      <c r="AM921" s="49"/>
    </row>
    <row r="922" spans="2:39" ht="25.15" customHeight="1" x14ac:dyDescent="0.25">
      <c r="B922" s="55"/>
      <c r="C922" s="51"/>
      <c r="D922" s="75"/>
      <c r="E922" s="53"/>
      <c r="H922" s="53"/>
      <c r="J922" s="53"/>
      <c r="M922" s="53"/>
      <c r="AM922" s="49"/>
    </row>
    <row r="923" spans="2:39" ht="25.15" customHeight="1" x14ac:dyDescent="0.25">
      <c r="B923" s="55"/>
      <c r="C923" s="51"/>
      <c r="D923" s="75"/>
      <c r="E923" s="53"/>
      <c r="H923" s="53"/>
      <c r="J923" s="53"/>
      <c r="M923" s="53"/>
      <c r="AM923" s="49"/>
    </row>
    <row r="924" spans="2:39" ht="25.15" customHeight="1" x14ac:dyDescent="0.25">
      <c r="B924" s="55"/>
      <c r="C924" s="51"/>
      <c r="D924" s="75"/>
      <c r="E924" s="53"/>
      <c r="H924" s="53"/>
      <c r="J924" s="53"/>
      <c r="M924" s="53"/>
      <c r="AM924" s="49"/>
    </row>
    <row r="925" spans="2:39" ht="25.15" customHeight="1" x14ac:dyDescent="0.25">
      <c r="B925" s="55"/>
      <c r="C925" s="51"/>
      <c r="D925" s="75"/>
      <c r="E925" s="53"/>
      <c r="H925" s="53"/>
      <c r="J925" s="53"/>
      <c r="M925" s="53"/>
      <c r="AM925" s="49"/>
    </row>
    <row r="926" spans="2:39" ht="25.15" customHeight="1" x14ac:dyDescent="0.25">
      <c r="B926" s="55"/>
      <c r="C926" s="51"/>
      <c r="D926" s="75"/>
      <c r="E926" s="53"/>
      <c r="H926" s="53"/>
      <c r="J926" s="53"/>
      <c r="M926" s="53"/>
      <c r="AM926" s="49"/>
    </row>
    <row r="927" spans="2:39" ht="25.15" customHeight="1" x14ac:dyDescent="0.25">
      <c r="B927" s="55"/>
      <c r="C927" s="51"/>
      <c r="D927" s="75"/>
      <c r="E927" s="53"/>
      <c r="H927" s="53"/>
      <c r="J927" s="53"/>
      <c r="M927" s="53"/>
      <c r="AM927" s="49"/>
    </row>
    <row r="928" spans="2:39" ht="25.15" customHeight="1" x14ac:dyDescent="0.25">
      <c r="B928" s="55"/>
      <c r="C928" s="51"/>
      <c r="D928" s="75"/>
      <c r="E928" s="53"/>
      <c r="H928" s="53"/>
      <c r="J928" s="53"/>
      <c r="M928" s="53"/>
      <c r="AM928" s="49"/>
    </row>
    <row r="929" spans="2:39" ht="25.15" customHeight="1" x14ac:dyDescent="0.25">
      <c r="B929" s="55"/>
      <c r="C929" s="51"/>
      <c r="D929" s="75"/>
      <c r="E929" s="53"/>
      <c r="H929" s="53"/>
      <c r="J929" s="53"/>
      <c r="M929" s="53"/>
      <c r="AM929" s="49"/>
    </row>
    <row r="930" spans="2:39" ht="25.15" customHeight="1" x14ac:dyDescent="0.25">
      <c r="B930" s="55"/>
      <c r="C930" s="51"/>
      <c r="D930" s="75"/>
      <c r="E930" s="53"/>
      <c r="H930" s="53"/>
      <c r="J930" s="53"/>
      <c r="M930" s="53"/>
      <c r="AM930" s="49"/>
    </row>
    <row r="931" spans="2:39" ht="25.15" customHeight="1" x14ac:dyDescent="0.25">
      <c r="B931" s="55"/>
      <c r="C931" s="51"/>
      <c r="D931" s="75"/>
      <c r="E931" s="53"/>
      <c r="H931" s="53"/>
      <c r="J931" s="53"/>
      <c r="M931" s="53"/>
      <c r="AM931" s="49"/>
    </row>
    <row r="932" spans="2:39" ht="25.15" customHeight="1" x14ac:dyDescent="0.25">
      <c r="B932" s="55"/>
      <c r="C932" s="51"/>
      <c r="D932" s="75"/>
      <c r="E932" s="53"/>
      <c r="H932" s="53"/>
      <c r="J932" s="53"/>
      <c r="M932" s="53"/>
      <c r="AM932" s="49"/>
    </row>
    <row r="933" spans="2:39" ht="25.15" customHeight="1" x14ac:dyDescent="0.25">
      <c r="B933" s="55"/>
      <c r="C933" s="51"/>
      <c r="D933" s="75"/>
      <c r="E933" s="53"/>
      <c r="H933" s="53"/>
      <c r="J933" s="53"/>
      <c r="M933" s="53"/>
      <c r="AM933" s="49"/>
    </row>
    <row r="934" spans="2:39" ht="25.15" customHeight="1" x14ac:dyDescent="0.25">
      <c r="B934" s="55"/>
      <c r="C934" s="51"/>
      <c r="D934" s="75"/>
      <c r="E934" s="53"/>
      <c r="H934" s="53"/>
      <c r="J934" s="53"/>
      <c r="M934" s="53"/>
      <c r="AM934" s="49"/>
    </row>
    <row r="935" spans="2:39" ht="25.15" customHeight="1" x14ac:dyDescent="0.25">
      <c r="B935" s="55"/>
      <c r="C935" s="51"/>
      <c r="D935" s="75"/>
      <c r="E935" s="53"/>
      <c r="H935" s="53"/>
      <c r="J935" s="53"/>
      <c r="M935" s="53"/>
      <c r="AM935" s="49"/>
    </row>
    <row r="936" spans="2:39" ht="25.15" customHeight="1" x14ac:dyDescent="0.25">
      <c r="B936" s="55"/>
      <c r="C936" s="51"/>
      <c r="D936" s="75"/>
      <c r="E936" s="53"/>
      <c r="H936" s="53"/>
      <c r="J936" s="53"/>
      <c r="M936" s="53"/>
      <c r="AM936" s="49"/>
    </row>
    <row r="937" spans="2:39" ht="25.15" customHeight="1" x14ac:dyDescent="0.25">
      <c r="B937" s="55"/>
      <c r="C937" s="51"/>
      <c r="D937" s="75"/>
      <c r="E937" s="53"/>
      <c r="H937" s="53"/>
      <c r="J937" s="53"/>
      <c r="M937" s="53"/>
      <c r="AM937" s="49"/>
    </row>
    <row r="938" spans="2:39" ht="25.15" customHeight="1" x14ac:dyDescent="0.25">
      <c r="B938" s="55"/>
      <c r="C938" s="51"/>
      <c r="D938" s="75"/>
      <c r="E938" s="53"/>
      <c r="H938" s="53"/>
      <c r="J938" s="53"/>
      <c r="M938" s="53"/>
      <c r="AM938" s="49"/>
    </row>
    <row r="939" spans="2:39" ht="25.15" customHeight="1" x14ac:dyDescent="0.25">
      <c r="B939" s="55"/>
      <c r="C939" s="51"/>
      <c r="D939" s="75"/>
      <c r="E939" s="53"/>
      <c r="H939" s="53"/>
      <c r="J939" s="53"/>
      <c r="M939" s="53"/>
      <c r="AM939" s="49"/>
    </row>
    <row r="940" spans="2:39" ht="25.15" customHeight="1" x14ac:dyDescent="0.25">
      <c r="B940" s="55"/>
      <c r="C940" s="51"/>
      <c r="D940" s="75"/>
      <c r="E940" s="53"/>
      <c r="H940" s="53"/>
      <c r="J940" s="53"/>
      <c r="M940" s="53"/>
      <c r="AM940" s="49"/>
    </row>
    <row r="941" spans="2:39" ht="25.15" customHeight="1" x14ac:dyDescent="0.25">
      <c r="B941" s="55"/>
      <c r="C941" s="51"/>
      <c r="D941" s="75"/>
      <c r="E941" s="53"/>
      <c r="H941" s="53"/>
      <c r="J941" s="53"/>
      <c r="M941" s="53"/>
      <c r="AM941" s="49"/>
    </row>
    <row r="942" spans="2:39" ht="25.15" customHeight="1" x14ac:dyDescent="0.25">
      <c r="B942" s="55"/>
      <c r="C942" s="51"/>
      <c r="D942" s="75"/>
      <c r="E942" s="53"/>
      <c r="H942" s="53"/>
      <c r="J942" s="53"/>
      <c r="M942" s="53"/>
      <c r="AM942" s="49"/>
    </row>
    <row r="943" spans="2:39" ht="25.15" customHeight="1" x14ac:dyDescent="0.25">
      <c r="B943" s="55"/>
      <c r="C943" s="51"/>
      <c r="D943" s="75"/>
      <c r="E943" s="53"/>
      <c r="H943" s="53"/>
      <c r="J943" s="53"/>
      <c r="M943" s="53"/>
      <c r="AM943" s="49"/>
    </row>
    <row r="944" spans="2:39" ht="25.15" customHeight="1" x14ac:dyDescent="0.25">
      <c r="B944" s="55"/>
      <c r="C944" s="51"/>
      <c r="D944" s="75"/>
      <c r="E944" s="53"/>
      <c r="H944" s="53"/>
      <c r="J944" s="53"/>
      <c r="M944" s="53"/>
      <c r="AM944" s="49"/>
    </row>
    <row r="945" spans="2:39" ht="25.15" customHeight="1" x14ac:dyDescent="0.25">
      <c r="B945" s="55"/>
      <c r="C945" s="51"/>
      <c r="D945" s="75"/>
      <c r="E945" s="53"/>
      <c r="H945" s="53"/>
      <c r="J945" s="53"/>
      <c r="M945" s="53"/>
      <c r="AM945" s="49"/>
    </row>
    <row r="946" spans="2:39" ht="25.15" customHeight="1" x14ac:dyDescent="0.25">
      <c r="B946" s="55"/>
      <c r="C946" s="51"/>
      <c r="D946" s="75"/>
      <c r="E946" s="53"/>
      <c r="H946" s="53"/>
      <c r="J946" s="53"/>
      <c r="M946" s="53"/>
      <c r="AM946" s="49"/>
    </row>
    <row r="947" spans="2:39" ht="25.15" customHeight="1" x14ac:dyDescent="0.25">
      <c r="B947" s="55"/>
      <c r="C947" s="51"/>
      <c r="D947" s="75"/>
      <c r="E947" s="53"/>
      <c r="H947" s="53"/>
      <c r="J947" s="53"/>
      <c r="M947" s="53"/>
      <c r="AM947" s="49"/>
    </row>
    <row r="948" spans="2:39" ht="25.15" customHeight="1" x14ac:dyDescent="0.25">
      <c r="B948" s="55"/>
      <c r="C948" s="51"/>
      <c r="D948" s="75"/>
      <c r="E948" s="53"/>
      <c r="H948" s="53"/>
      <c r="J948" s="53"/>
      <c r="M948" s="53"/>
      <c r="AM948" s="49"/>
    </row>
    <row r="949" spans="2:39" ht="25.15" customHeight="1" x14ac:dyDescent="0.25">
      <c r="B949" s="55"/>
      <c r="C949" s="51"/>
      <c r="D949" s="75"/>
      <c r="E949" s="53"/>
      <c r="H949" s="53"/>
      <c r="J949" s="53"/>
      <c r="M949" s="53"/>
      <c r="AM949" s="49"/>
    </row>
    <row r="950" spans="2:39" ht="25.15" customHeight="1" x14ac:dyDescent="0.25">
      <c r="B950" s="55"/>
      <c r="C950" s="51"/>
      <c r="D950" s="75"/>
      <c r="E950" s="53"/>
      <c r="H950" s="53"/>
      <c r="J950" s="53"/>
      <c r="M950" s="53"/>
      <c r="AM950" s="49"/>
    </row>
    <row r="951" spans="2:39" ht="25.15" customHeight="1" x14ac:dyDescent="0.25">
      <c r="B951" s="55"/>
      <c r="C951" s="51"/>
      <c r="D951" s="75"/>
      <c r="E951" s="53"/>
      <c r="H951" s="53"/>
      <c r="J951" s="53"/>
      <c r="M951" s="53"/>
      <c r="AM951" s="49"/>
    </row>
    <row r="952" spans="2:39" ht="25.15" customHeight="1" x14ac:dyDescent="0.25">
      <c r="B952" s="55"/>
      <c r="C952" s="51"/>
      <c r="D952" s="75"/>
      <c r="E952" s="53"/>
      <c r="H952" s="53"/>
      <c r="J952" s="53"/>
      <c r="M952" s="53"/>
      <c r="AM952" s="49"/>
    </row>
    <row r="953" spans="2:39" ht="25.15" customHeight="1" x14ac:dyDescent="0.25">
      <c r="B953" s="55"/>
      <c r="C953" s="51"/>
      <c r="D953" s="75"/>
      <c r="E953" s="53"/>
      <c r="H953" s="53"/>
      <c r="J953" s="53"/>
      <c r="M953" s="53"/>
      <c r="AM953" s="49"/>
    </row>
    <row r="954" spans="2:39" ht="25.15" customHeight="1" x14ac:dyDescent="0.25">
      <c r="B954" s="55"/>
      <c r="C954" s="51"/>
      <c r="D954" s="75"/>
      <c r="E954" s="53"/>
      <c r="H954" s="53"/>
      <c r="J954" s="53"/>
      <c r="M954" s="53"/>
      <c r="AM954" s="49"/>
    </row>
    <row r="955" spans="2:39" ht="25.15" customHeight="1" x14ac:dyDescent="0.25">
      <c r="B955" s="55"/>
      <c r="C955" s="51"/>
      <c r="D955" s="75"/>
      <c r="E955" s="53"/>
      <c r="H955" s="53"/>
      <c r="J955" s="53"/>
      <c r="M955" s="53"/>
      <c r="AM955" s="49"/>
    </row>
    <row r="956" spans="2:39" ht="25.15" customHeight="1" x14ac:dyDescent="0.25">
      <c r="B956" s="55"/>
      <c r="C956" s="51"/>
      <c r="D956" s="75"/>
      <c r="E956" s="53"/>
      <c r="H956" s="53"/>
      <c r="J956" s="53"/>
      <c r="M956" s="53"/>
      <c r="AM956" s="49"/>
    </row>
    <row r="957" spans="2:39" ht="25.15" customHeight="1" x14ac:dyDescent="0.25">
      <c r="B957" s="55"/>
      <c r="C957" s="51"/>
      <c r="D957" s="75"/>
      <c r="E957" s="53"/>
      <c r="H957" s="53"/>
      <c r="J957" s="53"/>
      <c r="M957" s="53"/>
      <c r="AM957" s="49"/>
    </row>
    <row r="958" spans="2:39" ht="25.15" customHeight="1" x14ac:dyDescent="0.25">
      <c r="B958" s="55"/>
      <c r="C958" s="51"/>
      <c r="D958" s="75"/>
      <c r="E958" s="53"/>
      <c r="H958" s="53"/>
      <c r="J958" s="53"/>
      <c r="M958" s="53"/>
      <c r="AM958" s="49"/>
    </row>
    <row r="959" spans="2:39" ht="25.15" customHeight="1" x14ac:dyDescent="0.25">
      <c r="B959" s="55"/>
      <c r="C959" s="51"/>
      <c r="D959" s="75"/>
      <c r="E959" s="53"/>
      <c r="H959" s="53"/>
      <c r="J959" s="53"/>
      <c r="M959" s="53"/>
      <c r="AM959" s="49"/>
    </row>
    <row r="960" spans="2:39" ht="25.15" customHeight="1" x14ac:dyDescent="0.25">
      <c r="B960" s="55"/>
      <c r="C960" s="51"/>
      <c r="D960" s="75"/>
      <c r="E960" s="53"/>
      <c r="H960" s="53"/>
      <c r="J960" s="53"/>
      <c r="M960" s="53"/>
      <c r="AM960" s="49"/>
    </row>
    <row r="961" spans="2:39" ht="25.15" customHeight="1" x14ac:dyDescent="0.25">
      <c r="B961" s="55"/>
      <c r="C961" s="51"/>
      <c r="D961" s="75"/>
      <c r="E961" s="53"/>
      <c r="H961" s="53"/>
      <c r="J961" s="53"/>
      <c r="M961" s="53"/>
      <c r="AM961" s="49"/>
    </row>
    <row r="962" spans="2:39" ht="25.15" customHeight="1" x14ac:dyDescent="0.25">
      <c r="B962" s="55"/>
      <c r="C962" s="51"/>
      <c r="D962" s="75"/>
      <c r="E962" s="53"/>
      <c r="H962" s="53"/>
      <c r="J962" s="53"/>
      <c r="M962" s="53"/>
      <c r="AM962" s="49"/>
    </row>
    <row r="963" spans="2:39" ht="25.15" customHeight="1" x14ac:dyDescent="0.25">
      <c r="B963" s="55"/>
      <c r="C963" s="51"/>
      <c r="D963" s="75"/>
      <c r="E963" s="53"/>
      <c r="H963" s="53"/>
      <c r="J963" s="53"/>
      <c r="M963" s="53"/>
      <c r="AM963" s="49"/>
    </row>
    <row r="964" spans="2:39" ht="25.15" customHeight="1" x14ac:dyDescent="0.25">
      <c r="B964" s="55"/>
      <c r="C964" s="51"/>
      <c r="D964" s="75"/>
      <c r="E964" s="53"/>
      <c r="H964" s="53"/>
      <c r="J964" s="53"/>
      <c r="M964" s="53"/>
      <c r="AM964" s="49"/>
    </row>
    <row r="965" spans="2:39" ht="25.15" customHeight="1" x14ac:dyDescent="0.25">
      <c r="B965" s="55"/>
      <c r="C965" s="51"/>
      <c r="D965" s="75"/>
      <c r="E965" s="53"/>
      <c r="H965" s="53"/>
      <c r="J965" s="53"/>
      <c r="M965" s="53"/>
      <c r="AM965" s="49"/>
    </row>
    <row r="966" spans="2:39" ht="25.15" customHeight="1" x14ac:dyDescent="0.25">
      <c r="B966" s="55"/>
      <c r="C966" s="51"/>
      <c r="D966" s="75"/>
      <c r="E966" s="53"/>
      <c r="H966" s="53"/>
      <c r="J966" s="53"/>
      <c r="M966" s="53"/>
      <c r="AM966" s="49"/>
    </row>
    <row r="967" spans="2:39" ht="25.15" customHeight="1" x14ac:dyDescent="0.25">
      <c r="B967" s="55"/>
      <c r="C967" s="51"/>
      <c r="D967" s="75"/>
      <c r="E967" s="53"/>
      <c r="H967" s="53"/>
      <c r="J967" s="53"/>
      <c r="M967" s="53"/>
      <c r="AM967" s="49"/>
    </row>
    <row r="968" spans="2:39" ht="25.15" customHeight="1" x14ac:dyDescent="0.25">
      <c r="B968" s="55"/>
      <c r="C968" s="51"/>
      <c r="D968" s="75"/>
      <c r="E968" s="53"/>
      <c r="H968" s="53"/>
      <c r="J968" s="53"/>
      <c r="M968" s="53"/>
      <c r="AM968" s="49"/>
    </row>
    <row r="969" spans="2:39" ht="25.15" customHeight="1" x14ac:dyDescent="0.25">
      <c r="B969" s="55"/>
      <c r="C969" s="51"/>
      <c r="D969" s="75"/>
      <c r="E969" s="53"/>
      <c r="H969" s="53"/>
      <c r="J969" s="53"/>
      <c r="M969" s="53"/>
      <c r="AM969" s="49"/>
    </row>
    <row r="970" spans="2:39" ht="25.15" customHeight="1" x14ac:dyDescent="0.25">
      <c r="B970" s="55"/>
      <c r="C970" s="51"/>
      <c r="D970" s="75"/>
      <c r="E970" s="53"/>
      <c r="H970" s="53"/>
      <c r="J970" s="53"/>
      <c r="M970" s="53"/>
      <c r="AM970" s="49"/>
    </row>
    <row r="971" spans="2:39" ht="25.15" customHeight="1" x14ac:dyDescent="0.25">
      <c r="B971" s="55"/>
      <c r="C971" s="51"/>
      <c r="D971" s="75"/>
      <c r="E971" s="53"/>
      <c r="H971" s="53"/>
      <c r="J971" s="53"/>
      <c r="M971" s="53"/>
      <c r="AM971" s="49"/>
    </row>
    <row r="972" spans="2:39" ht="25.15" customHeight="1" x14ac:dyDescent="0.25">
      <c r="B972" s="55"/>
      <c r="C972" s="51"/>
      <c r="D972" s="75"/>
      <c r="E972" s="53"/>
      <c r="H972" s="53"/>
      <c r="J972" s="53"/>
      <c r="M972" s="53"/>
      <c r="AM972" s="49"/>
    </row>
    <row r="973" spans="2:39" ht="25.15" customHeight="1" x14ac:dyDescent="0.25">
      <c r="B973" s="55"/>
      <c r="C973" s="51"/>
      <c r="D973" s="75"/>
      <c r="E973" s="53"/>
      <c r="H973" s="53"/>
      <c r="J973" s="53"/>
      <c r="M973" s="53"/>
      <c r="AM973" s="49"/>
    </row>
    <row r="974" spans="2:39" ht="25.15" customHeight="1" x14ac:dyDescent="0.25">
      <c r="B974" s="55"/>
      <c r="C974" s="51"/>
      <c r="D974" s="75"/>
      <c r="E974" s="53"/>
      <c r="H974" s="53"/>
      <c r="J974" s="53"/>
      <c r="M974" s="53"/>
      <c r="AM974" s="49"/>
    </row>
    <row r="975" spans="2:39" ht="25.15" customHeight="1" x14ac:dyDescent="0.25">
      <c r="B975" s="55"/>
      <c r="C975" s="51"/>
      <c r="D975" s="75"/>
      <c r="E975" s="53"/>
      <c r="H975" s="53"/>
      <c r="J975" s="53"/>
      <c r="M975" s="53"/>
      <c r="AM975" s="49"/>
    </row>
    <row r="976" spans="2:39" ht="25.15" customHeight="1" x14ac:dyDescent="0.25">
      <c r="B976" s="55"/>
      <c r="C976" s="51"/>
      <c r="D976" s="75"/>
      <c r="E976" s="53"/>
      <c r="H976" s="53"/>
      <c r="J976" s="53"/>
      <c r="M976" s="53"/>
      <c r="AM976" s="49"/>
    </row>
    <row r="977" spans="2:39" ht="25.15" customHeight="1" x14ac:dyDescent="0.25">
      <c r="B977" s="55"/>
      <c r="C977" s="51"/>
      <c r="D977" s="75"/>
      <c r="E977" s="53"/>
      <c r="H977" s="53"/>
      <c r="J977" s="53"/>
      <c r="M977" s="53"/>
      <c r="AM977" s="49"/>
    </row>
    <row r="978" spans="2:39" ht="25.15" customHeight="1" x14ac:dyDescent="0.25">
      <c r="B978" s="55"/>
      <c r="C978" s="51"/>
      <c r="D978" s="75"/>
      <c r="E978" s="53"/>
      <c r="H978" s="53"/>
      <c r="J978" s="53"/>
      <c r="M978" s="53"/>
      <c r="AM978" s="49"/>
    </row>
    <row r="979" spans="2:39" ht="25.15" customHeight="1" x14ac:dyDescent="0.25">
      <c r="B979" s="55"/>
      <c r="C979" s="51"/>
      <c r="D979" s="75"/>
      <c r="E979" s="53"/>
      <c r="H979" s="53"/>
      <c r="J979" s="53"/>
      <c r="M979" s="53"/>
      <c r="AM979" s="49"/>
    </row>
    <row r="980" spans="2:39" ht="25.15" customHeight="1" x14ac:dyDescent="0.25">
      <c r="B980" s="55"/>
      <c r="C980" s="51"/>
      <c r="D980" s="75"/>
      <c r="E980" s="53"/>
      <c r="H980" s="53"/>
      <c r="J980" s="53"/>
      <c r="M980" s="53"/>
      <c r="AM980" s="49"/>
    </row>
    <row r="981" spans="2:39" ht="25.15" customHeight="1" x14ac:dyDescent="0.25">
      <c r="B981" s="55"/>
      <c r="C981" s="51"/>
      <c r="D981" s="75"/>
      <c r="E981" s="53"/>
      <c r="H981" s="53"/>
      <c r="J981" s="53"/>
      <c r="M981" s="53"/>
      <c r="AM981" s="49"/>
    </row>
    <row r="982" spans="2:39" ht="25.15" customHeight="1" x14ac:dyDescent="0.25">
      <c r="B982" s="55"/>
      <c r="C982" s="51"/>
      <c r="D982" s="75"/>
      <c r="E982" s="53"/>
      <c r="H982" s="53"/>
      <c r="J982" s="53"/>
      <c r="M982" s="53"/>
      <c r="AM982" s="49"/>
    </row>
    <row r="983" spans="2:39" ht="25.15" customHeight="1" x14ac:dyDescent="0.25">
      <c r="B983" s="55"/>
      <c r="C983" s="51"/>
      <c r="D983" s="75"/>
      <c r="E983" s="53"/>
      <c r="H983" s="53"/>
      <c r="J983" s="53"/>
      <c r="M983" s="53"/>
      <c r="AM983" s="49"/>
    </row>
    <row r="984" spans="2:39" ht="25.15" customHeight="1" x14ac:dyDescent="0.25">
      <c r="B984" s="55"/>
      <c r="C984" s="51"/>
      <c r="D984" s="75"/>
      <c r="E984" s="53"/>
      <c r="H984" s="53"/>
      <c r="J984" s="53"/>
      <c r="M984" s="53"/>
      <c r="AM984" s="49"/>
    </row>
    <row r="985" spans="2:39" ht="25.15" customHeight="1" x14ac:dyDescent="0.25">
      <c r="B985" s="55"/>
      <c r="C985" s="51"/>
      <c r="D985" s="75"/>
      <c r="E985" s="53"/>
      <c r="H985" s="53"/>
      <c r="J985" s="53"/>
      <c r="M985" s="53"/>
      <c r="AM985" s="49"/>
    </row>
    <row r="986" spans="2:39" ht="25.15" customHeight="1" x14ac:dyDescent="0.25">
      <c r="B986" s="55"/>
      <c r="C986" s="51"/>
      <c r="D986" s="75"/>
      <c r="E986" s="53"/>
      <c r="H986" s="53"/>
      <c r="J986" s="53"/>
      <c r="M986" s="53"/>
      <c r="AM986" s="49"/>
    </row>
    <row r="987" spans="2:39" ht="25.15" customHeight="1" x14ac:dyDescent="0.25">
      <c r="B987" s="55"/>
      <c r="C987" s="51"/>
      <c r="D987" s="75"/>
      <c r="E987" s="53"/>
      <c r="H987" s="53"/>
      <c r="J987" s="53"/>
      <c r="M987" s="53"/>
      <c r="AM987" s="49"/>
    </row>
    <row r="988" spans="2:39" ht="25.15" customHeight="1" x14ac:dyDescent="0.25">
      <c r="B988" s="55"/>
      <c r="C988" s="51"/>
      <c r="D988" s="75"/>
      <c r="E988" s="53"/>
      <c r="H988" s="53"/>
      <c r="J988" s="53"/>
      <c r="M988" s="53"/>
      <c r="AM988" s="49"/>
    </row>
    <row r="989" spans="2:39" ht="25.15" customHeight="1" x14ac:dyDescent="0.25">
      <c r="B989" s="55"/>
      <c r="C989" s="51"/>
      <c r="D989" s="75"/>
      <c r="E989" s="53"/>
      <c r="H989" s="53"/>
      <c r="J989" s="53"/>
      <c r="M989" s="53"/>
      <c r="AM989" s="49"/>
    </row>
    <row r="990" spans="2:39" ht="25.15" customHeight="1" x14ac:dyDescent="0.25">
      <c r="B990" s="55"/>
      <c r="C990" s="51"/>
      <c r="D990" s="75"/>
      <c r="E990" s="53"/>
      <c r="H990" s="53"/>
      <c r="J990" s="53"/>
      <c r="M990" s="53"/>
      <c r="AM990" s="49"/>
    </row>
    <row r="991" spans="2:39" ht="25.15" customHeight="1" x14ac:dyDescent="0.25">
      <c r="B991" s="55"/>
      <c r="C991" s="51"/>
      <c r="D991" s="75"/>
      <c r="E991" s="53"/>
      <c r="H991" s="53"/>
      <c r="J991" s="53"/>
      <c r="M991" s="53"/>
      <c r="AM991" s="49"/>
    </row>
    <row r="992" spans="2:39" ht="25.15" customHeight="1" x14ac:dyDescent="0.25">
      <c r="B992" s="55"/>
      <c r="C992" s="51"/>
      <c r="D992" s="75"/>
      <c r="E992" s="53"/>
      <c r="H992" s="53"/>
      <c r="J992" s="53"/>
      <c r="M992" s="53"/>
      <c r="AM992" s="49"/>
    </row>
    <row r="993" spans="2:39" ht="25.15" customHeight="1" x14ac:dyDescent="0.25">
      <c r="B993" s="55"/>
      <c r="C993" s="51"/>
      <c r="D993" s="75"/>
      <c r="E993" s="53"/>
      <c r="H993" s="53"/>
      <c r="J993" s="53"/>
      <c r="M993" s="53"/>
      <c r="AM993" s="49"/>
    </row>
    <row r="994" spans="2:39" ht="25.15" customHeight="1" x14ac:dyDescent="0.25">
      <c r="B994" s="55"/>
      <c r="C994" s="51"/>
      <c r="D994" s="75"/>
      <c r="E994" s="53"/>
      <c r="H994" s="53"/>
      <c r="J994" s="53"/>
      <c r="M994" s="53"/>
      <c r="AM994" s="49"/>
    </row>
    <row r="995" spans="2:39" ht="25.15" customHeight="1" x14ac:dyDescent="0.25">
      <c r="B995" s="55"/>
      <c r="C995" s="51"/>
      <c r="D995" s="75"/>
      <c r="E995" s="53"/>
      <c r="H995" s="53"/>
      <c r="J995" s="53"/>
      <c r="M995" s="53"/>
      <c r="AM995" s="49"/>
    </row>
    <row r="996" spans="2:39" ht="25.15" customHeight="1" x14ac:dyDescent="0.25">
      <c r="B996" s="55"/>
      <c r="C996" s="51"/>
      <c r="D996" s="75"/>
      <c r="E996" s="53"/>
      <c r="H996" s="53"/>
      <c r="J996" s="53"/>
      <c r="M996" s="53"/>
      <c r="AM996" s="49"/>
    </row>
    <row r="997" spans="2:39" ht="25.15" customHeight="1" x14ac:dyDescent="0.25">
      <c r="B997" s="55"/>
      <c r="C997" s="51"/>
      <c r="D997" s="75"/>
      <c r="E997" s="53"/>
      <c r="H997" s="53"/>
      <c r="J997" s="53"/>
      <c r="M997" s="53"/>
      <c r="AM997" s="49"/>
    </row>
    <row r="998" spans="2:39" ht="25.15" customHeight="1" x14ac:dyDescent="0.25">
      <c r="B998" s="55"/>
      <c r="C998" s="51"/>
      <c r="D998" s="75"/>
      <c r="E998" s="53"/>
      <c r="H998" s="53"/>
      <c r="J998" s="53"/>
      <c r="M998" s="53"/>
      <c r="AM998" s="49"/>
    </row>
    <row r="999" spans="2:39" ht="25.15" customHeight="1" x14ac:dyDescent="0.25">
      <c r="B999" s="55"/>
      <c r="C999" s="51"/>
      <c r="D999" s="75"/>
      <c r="E999" s="53"/>
      <c r="H999" s="53"/>
      <c r="J999" s="53"/>
      <c r="M999" s="53"/>
      <c r="AM999" s="49"/>
    </row>
    <row r="1000" spans="2:39" ht="25.15" customHeight="1" x14ac:dyDescent="0.25">
      <c r="B1000" s="55"/>
      <c r="C1000" s="51"/>
      <c r="D1000" s="75"/>
      <c r="E1000" s="53"/>
      <c r="H1000" s="53"/>
      <c r="J1000" s="53"/>
      <c r="M1000" s="53"/>
      <c r="AM1000" s="49"/>
    </row>
    <row r="1001" spans="2:39" ht="25.15" customHeight="1" x14ac:dyDescent="0.25">
      <c r="B1001" s="55"/>
      <c r="C1001" s="51"/>
      <c r="D1001" s="75"/>
      <c r="E1001" s="53"/>
      <c r="H1001" s="53"/>
      <c r="J1001" s="53"/>
      <c r="M1001" s="53"/>
      <c r="AM1001" s="49"/>
    </row>
    <row r="1002" spans="2:39" ht="25.15" customHeight="1" x14ac:dyDescent="0.25">
      <c r="B1002" s="55"/>
      <c r="C1002" s="51"/>
      <c r="D1002" s="75"/>
      <c r="E1002" s="53"/>
      <c r="H1002" s="53"/>
      <c r="J1002" s="53"/>
      <c r="M1002" s="53"/>
      <c r="AM1002" s="49"/>
    </row>
    <row r="1003" spans="2:39" ht="25.15" customHeight="1" x14ac:dyDescent="0.25">
      <c r="B1003" s="55"/>
      <c r="C1003" s="51"/>
      <c r="D1003" s="75"/>
      <c r="E1003" s="53"/>
      <c r="H1003" s="53"/>
      <c r="J1003" s="53"/>
      <c r="M1003" s="53"/>
      <c r="AM1003" s="49"/>
    </row>
    <row r="1004" spans="2:39" ht="25.15" customHeight="1" x14ac:dyDescent="0.25">
      <c r="B1004" s="55"/>
      <c r="C1004" s="51"/>
      <c r="D1004" s="75"/>
      <c r="E1004" s="53"/>
      <c r="H1004" s="53"/>
      <c r="J1004" s="53"/>
      <c r="M1004" s="53"/>
      <c r="AM1004" s="49"/>
    </row>
    <row r="1005" spans="2:39" ht="25.15" customHeight="1" x14ac:dyDescent="0.25">
      <c r="B1005" s="55"/>
      <c r="C1005" s="51"/>
      <c r="D1005" s="75"/>
      <c r="E1005" s="53"/>
      <c r="H1005" s="53"/>
      <c r="J1005" s="53"/>
      <c r="M1005" s="53"/>
      <c r="AM1005" s="49"/>
    </row>
    <row r="1006" spans="2:39" ht="25.15" customHeight="1" x14ac:dyDescent="0.25">
      <c r="B1006" s="55"/>
      <c r="C1006" s="51"/>
      <c r="D1006" s="75"/>
      <c r="E1006" s="53"/>
      <c r="H1006" s="53"/>
      <c r="J1006" s="53"/>
      <c r="M1006" s="53"/>
      <c r="AM1006" s="49"/>
    </row>
    <row r="1007" spans="2:39" ht="25.15" customHeight="1" x14ac:dyDescent="0.25">
      <c r="B1007" s="55"/>
      <c r="C1007" s="51"/>
      <c r="D1007" s="75"/>
      <c r="E1007" s="53"/>
      <c r="H1007" s="53"/>
      <c r="J1007" s="53"/>
      <c r="M1007" s="53"/>
      <c r="AM1007" s="49"/>
    </row>
    <row r="1008" spans="2:39" ht="25.15" customHeight="1" x14ac:dyDescent="0.25">
      <c r="B1008" s="55"/>
      <c r="C1008" s="51"/>
      <c r="D1008" s="75"/>
      <c r="E1008" s="53"/>
      <c r="H1008" s="53"/>
      <c r="J1008" s="53"/>
      <c r="M1008" s="53"/>
      <c r="AM1008" s="49"/>
    </row>
    <row r="1009" spans="2:39" ht="25.15" customHeight="1" x14ac:dyDescent="0.25">
      <c r="B1009" s="55"/>
      <c r="C1009" s="51"/>
      <c r="D1009" s="75"/>
      <c r="E1009" s="53"/>
      <c r="H1009" s="53"/>
      <c r="J1009" s="53"/>
      <c r="M1009" s="53"/>
      <c r="AM1009" s="49"/>
    </row>
    <row r="1010" spans="2:39" ht="25.15" customHeight="1" x14ac:dyDescent="0.25">
      <c r="B1010" s="55"/>
      <c r="C1010" s="51"/>
      <c r="D1010" s="75"/>
      <c r="E1010" s="53"/>
      <c r="H1010" s="53"/>
      <c r="J1010" s="53"/>
      <c r="M1010" s="53"/>
      <c r="AM1010" s="49"/>
    </row>
    <row r="1011" spans="2:39" ht="25.15" customHeight="1" x14ac:dyDescent="0.25">
      <c r="B1011" s="55"/>
      <c r="C1011" s="51"/>
      <c r="D1011" s="75"/>
      <c r="E1011" s="53"/>
      <c r="H1011" s="53"/>
      <c r="J1011" s="53"/>
      <c r="M1011" s="53"/>
      <c r="AM1011" s="49"/>
    </row>
    <row r="1012" spans="2:39" ht="25.15" customHeight="1" x14ac:dyDescent="0.25">
      <c r="B1012" s="55"/>
      <c r="C1012" s="51"/>
      <c r="D1012" s="75"/>
      <c r="E1012" s="53"/>
      <c r="H1012" s="53"/>
      <c r="J1012" s="53"/>
      <c r="M1012" s="53"/>
      <c r="AM1012" s="49"/>
    </row>
    <row r="1013" spans="2:39" ht="25.15" customHeight="1" x14ac:dyDescent="0.25">
      <c r="B1013" s="55"/>
      <c r="C1013" s="51"/>
      <c r="D1013" s="75"/>
      <c r="E1013" s="53"/>
      <c r="H1013" s="53"/>
      <c r="J1013" s="53"/>
      <c r="M1013" s="53"/>
      <c r="AM1013" s="49"/>
    </row>
    <row r="1014" spans="2:39" ht="25.15" customHeight="1" x14ac:dyDescent="0.25">
      <c r="B1014" s="55"/>
      <c r="C1014" s="51"/>
      <c r="D1014" s="75"/>
      <c r="E1014" s="53"/>
      <c r="H1014" s="53"/>
      <c r="J1014" s="53"/>
      <c r="M1014" s="53"/>
      <c r="AM1014" s="49"/>
    </row>
    <row r="1015" spans="2:39" ht="25.15" customHeight="1" x14ac:dyDescent="0.25">
      <c r="B1015" s="55"/>
      <c r="C1015" s="51"/>
      <c r="D1015" s="75"/>
      <c r="E1015" s="53"/>
      <c r="H1015" s="53"/>
      <c r="J1015" s="53"/>
      <c r="M1015" s="53"/>
      <c r="AM1015" s="49"/>
    </row>
    <row r="1016" spans="2:39" ht="25.15" customHeight="1" x14ac:dyDescent="0.25">
      <c r="B1016" s="55"/>
      <c r="C1016" s="51"/>
      <c r="D1016" s="75"/>
      <c r="E1016" s="53"/>
      <c r="H1016" s="53"/>
      <c r="J1016" s="53"/>
      <c r="M1016" s="53"/>
      <c r="AM1016" s="49"/>
    </row>
    <row r="1017" spans="2:39" ht="25.15" customHeight="1" x14ac:dyDescent="0.25">
      <c r="B1017" s="55"/>
      <c r="C1017" s="51"/>
      <c r="D1017" s="75"/>
      <c r="E1017" s="53"/>
      <c r="H1017" s="53"/>
      <c r="J1017" s="53"/>
      <c r="M1017" s="53"/>
      <c r="AM1017" s="49"/>
    </row>
    <row r="1018" spans="2:39" ht="25.15" customHeight="1" x14ac:dyDescent="0.25">
      <c r="B1018" s="55"/>
      <c r="C1018" s="51"/>
      <c r="D1018" s="75"/>
      <c r="E1018" s="53"/>
      <c r="H1018" s="53"/>
      <c r="J1018" s="53"/>
      <c r="M1018" s="53"/>
      <c r="AM1018" s="49"/>
    </row>
    <row r="1019" spans="2:39" ht="25.15" customHeight="1" x14ac:dyDescent="0.25">
      <c r="B1019" s="55"/>
      <c r="C1019" s="51"/>
      <c r="D1019" s="75"/>
      <c r="E1019" s="53"/>
      <c r="H1019" s="53"/>
      <c r="J1019" s="53"/>
      <c r="M1019" s="53"/>
      <c r="AM1019" s="49"/>
    </row>
    <row r="1020" spans="2:39" ht="25.15" customHeight="1" x14ac:dyDescent="0.25">
      <c r="B1020" s="55"/>
      <c r="C1020" s="51"/>
      <c r="D1020" s="75"/>
      <c r="E1020" s="53"/>
      <c r="H1020" s="53"/>
      <c r="J1020" s="53"/>
      <c r="M1020" s="53"/>
      <c r="AM1020" s="49"/>
    </row>
    <row r="1021" spans="2:39" ht="25.15" customHeight="1" x14ac:dyDescent="0.25">
      <c r="B1021" s="55"/>
      <c r="C1021" s="51"/>
      <c r="D1021" s="75"/>
      <c r="E1021" s="53"/>
      <c r="H1021" s="53"/>
      <c r="J1021" s="53"/>
      <c r="M1021" s="53"/>
      <c r="AM1021" s="49"/>
    </row>
    <row r="1022" spans="2:39" ht="25.15" customHeight="1" x14ac:dyDescent="0.25">
      <c r="B1022" s="55"/>
      <c r="C1022" s="51"/>
      <c r="D1022" s="75"/>
      <c r="E1022" s="53"/>
      <c r="H1022" s="53"/>
      <c r="J1022" s="53"/>
      <c r="M1022" s="53"/>
      <c r="AM1022" s="49"/>
    </row>
    <row r="1023" spans="2:39" ht="25.15" customHeight="1" x14ac:dyDescent="0.25">
      <c r="B1023" s="55"/>
      <c r="C1023" s="51"/>
      <c r="D1023" s="75"/>
      <c r="E1023" s="53"/>
      <c r="H1023" s="53"/>
      <c r="J1023" s="53"/>
      <c r="M1023" s="53"/>
      <c r="AM1023" s="49"/>
    </row>
    <row r="1024" spans="2:39" ht="25.15" customHeight="1" x14ac:dyDescent="0.25">
      <c r="B1024" s="55"/>
      <c r="C1024" s="51"/>
      <c r="D1024" s="75"/>
      <c r="E1024" s="53"/>
      <c r="H1024" s="53"/>
      <c r="J1024" s="53"/>
      <c r="M1024" s="53"/>
      <c r="AM1024" s="49"/>
    </row>
    <row r="1025" spans="2:39" ht="25.15" customHeight="1" x14ac:dyDescent="0.25">
      <c r="B1025" s="55"/>
      <c r="C1025" s="51"/>
      <c r="D1025" s="75"/>
      <c r="E1025" s="53"/>
      <c r="H1025" s="53"/>
      <c r="J1025" s="53"/>
      <c r="M1025" s="53"/>
      <c r="AM1025" s="49"/>
    </row>
    <row r="1026" spans="2:39" ht="25.15" customHeight="1" x14ac:dyDescent="0.25">
      <c r="B1026" s="55"/>
      <c r="C1026" s="51"/>
      <c r="D1026" s="75"/>
      <c r="E1026" s="53"/>
      <c r="H1026" s="53"/>
      <c r="J1026" s="53"/>
      <c r="M1026" s="53"/>
      <c r="AM1026" s="49"/>
    </row>
    <row r="1027" spans="2:39" ht="25.15" customHeight="1" x14ac:dyDescent="0.25">
      <c r="B1027" s="55"/>
      <c r="C1027" s="51"/>
      <c r="D1027" s="75"/>
      <c r="E1027" s="53"/>
      <c r="H1027" s="53"/>
      <c r="J1027" s="53"/>
      <c r="M1027" s="53"/>
      <c r="AM1027" s="49"/>
    </row>
    <row r="1028" spans="2:39" ht="25.15" customHeight="1" x14ac:dyDescent="0.25">
      <c r="B1028" s="55"/>
      <c r="C1028" s="51"/>
      <c r="D1028" s="75"/>
      <c r="E1028" s="53"/>
      <c r="H1028" s="53"/>
      <c r="J1028" s="53"/>
      <c r="M1028" s="53"/>
      <c r="AM1028" s="49"/>
    </row>
    <row r="1029" spans="2:39" ht="25.15" customHeight="1" x14ac:dyDescent="0.25">
      <c r="B1029" s="55"/>
      <c r="C1029" s="51"/>
      <c r="D1029" s="75"/>
      <c r="E1029" s="53"/>
      <c r="H1029" s="53"/>
      <c r="J1029" s="53"/>
      <c r="M1029" s="53"/>
      <c r="AM1029" s="49"/>
    </row>
    <row r="1030" spans="2:39" ht="25.15" customHeight="1" x14ac:dyDescent="0.25">
      <c r="B1030" s="55"/>
      <c r="C1030" s="51"/>
      <c r="D1030" s="75"/>
      <c r="E1030" s="53"/>
      <c r="H1030" s="53"/>
      <c r="J1030" s="53"/>
      <c r="M1030" s="53"/>
      <c r="AM1030" s="49"/>
    </row>
    <row r="1031" spans="2:39" ht="25.15" customHeight="1" x14ac:dyDescent="0.25">
      <c r="B1031" s="55"/>
      <c r="C1031" s="51"/>
      <c r="D1031" s="75"/>
      <c r="E1031" s="53"/>
      <c r="H1031" s="53"/>
      <c r="J1031" s="53"/>
      <c r="M1031" s="53"/>
      <c r="AM1031" s="49"/>
    </row>
    <row r="1032" spans="2:39" ht="25.15" customHeight="1" x14ac:dyDescent="0.25">
      <c r="B1032" s="55"/>
      <c r="C1032" s="51"/>
      <c r="D1032" s="75"/>
      <c r="E1032" s="53"/>
      <c r="H1032" s="53"/>
      <c r="J1032" s="53"/>
      <c r="M1032" s="53"/>
      <c r="AM1032" s="49"/>
    </row>
    <row r="1033" spans="2:39" ht="25.15" customHeight="1" x14ac:dyDescent="0.25">
      <c r="B1033" s="55"/>
      <c r="C1033" s="51"/>
      <c r="D1033" s="75"/>
      <c r="E1033" s="53"/>
      <c r="H1033" s="53"/>
      <c r="J1033" s="53"/>
      <c r="M1033" s="53"/>
      <c r="AM1033" s="49"/>
    </row>
    <row r="1034" spans="2:39" ht="25.15" customHeight="1" x14ac:dyDescent="0.25">
      <c r="B1034" s="55"/>
      <c r="C1034" s="51"/>
      <c r="D1034" s="75"/>
      <c r="E1034" s="53"/>
      <c r="H1034" s="53"/>
      <c r="J1034" s="53"/>
      <c r="M1034" s="53"/>
      <c r="AM1034" s="49"/>
    </row>
    <row r="1035" spans="2:39" ht="25.15" customHeight="1" x14ac:dyDescent="0.25">
      <c r="B1035" s="55"/>
      <c r="C1035" s="51"/>
      <c r="D1035" s="75"/>
      <c r="E1035" s="53"/>
      <c r="H1035" s="53"/>
      <c r="J1035" s="53"/>
      <c r="M1035" s="53"/>
      <c r="AM1035" s="49"/>
    </row>
    <row r="1036" spans="2:39" ht="25.15" customHeight="1" x14ac:dyDescent="0.25">
      <c r="B1036" s="55"/>
      <c r="C1036" s="51"/>
      <c r="D1036" s="75"/>
      <c r="E1036" s="53"/>
      <c r="H1036" s="53"/>
      <c r="J1036" s="53"/>
      <c r="M1036" s="53"/>
      <c r="AM1036" s="49"/>
    </row>
    <row r="1037" spans="2:39" ht="25.15" customHeight="1" x14ac:dyDescent="0.25">
      <c r="B1037" s="55"/>
      <c r="C1037" s="51"/>
      <c r="D1037" s="75"/>
      <c r="E1037" s="53"/>
      <c r="H1037" s="53"/>
      <c r="J1037" s="53"/>
      <c r="M1037" s="53"/>
      <c r="AM1037" s="49"/>
    </row>
    <row r="1038" spans="2:39" ht="25.15" customHeight="1" x14ac:dyDescent="0.25">
      <c r="B1038" s="55"/>
      <c r="C1038" s="51"/>
      <c r="D1038" s="75"/>
      <c r="E1038" s="53"/>
      <c r="H1038" s="53"/>
      <c r="J1038" s="53"/>
      <c r="M1038" s="53"/>
      <c r="AM1038" s="49"/>
    </row>
    <row r="1039" spans="2:39" ht="25.15" customHeight="1" x14ac:dyDescent="0.25">
      <c r="B1039" s="55"/>
      <c r="C1039" s="51"/>
      <c r="D1039" s="75"/>
      <c r="E1039" s="53"/>
      <c r="H1039" s="53"/>
      <c r="J1039" s="53"/>
      <c r="M1039" s="53"/>
      <c r="AM1039" s="49"/>
    </row>
    <row r="1040" spans="2:39" ht="25.15" customHeight="1" x14ac:dyDescent="0.25">
      <c r="B1040" s="55"/>
      <c r="C1040" s="51"/>
      <c r="D1040" s="75"/>
      <c r="E1040" s="53"/>
      <c r="H1040" s="53"/>
      <c r="J1040" s="53"/>
      <c r="M1040" s="53"/>
      <c r="AM1040" s="49"/>
    </row>
    <row r="1041" spans="2:39" ht="25.15" customHeight="1" x14ac:dyDescent="0.25">
      <c r="B1041" s="55"/>
      <c r="C1041" s="51"/>
      <c r="D1041" s="75"/>
      <c r="E1041" s="53"/>
      <c r="H1041" s="53"/>
      <c r="J1041" s="53"/>
      <c r="M1041" s="53"/>
      <c r="AM1041" s="49"/>
    </row>
    <row r="1042" spans="2:39" ht="25.15" customHeight="1" x14ac:dyDescent="0.25">
      <c r="B1042" s="55"/>
      <c r="C1042" s="51"/>
      <c r="D1042" s="75"/>
      <c r="E1042" s="53"/>
      <c r="H1042" s="53"/>
      <c r="J1042" s="53"/>
      <c r="M1042" s="53"/>
      <c r="AM1042" s="49"/>
    </row>
    <row r="1043" spans="2:39" ht="25.15" customHeight="1" x14ac:dyDescent="0.25">
      <c r="B1043" s="55"/>
      <c r="C1043" s="51"/>
      <c r="D1043" s="75"/>
      <c r="E1043" s="53"/>
      <c r="H1043" s="53"/>
      <c r="J1043" s="53"/>
      <c r="M1043" s="53"/>
      <c r="AM1043" s="49"/>
    </row>
    <row r="1044" spans="2:39" ht="25.15" customHeight="1" x14ac:dyDescent="0.25">
      <c r="B1044" s="55"/>
      <c r="C1044" s="51"/>
      <c r="D1044" s="75"/>
      <c r="E1044" s="53"/>
      <c r="H1044" s="53"/>
      <c r="J1044" s="53"/>
      <c r="M1044" s="53"/>
      <c r="AM1044" s="49"/>
    </row>
    <row r="1045" spans="2:39" ht="25.15" customHeight="1" x14ac:dyDescent="0.25">
      <c r="B1045" s="55"/>
      <c r="C1045" s="51"/>
      <c r="D1045" s="75"/>
      <c r="E1045" s="53"/>
      <c r="H1045" s="53"/>
      <c r="J1045" s="53"/>
      <c r="M1045" s="53"/>
      <c r="AM1045" s="49"/>
    </row>
    <row r="1046" spans="2:39" ht="25.15" customHeight="1" x14ac:dyDescent="0.25">
      <c r="B1046" s="55"/>
      <c r="C1046" s="51"/>
      <c r="D1046" s="75"/>
      <c r="E1046" s="53"/>
      <c r="H1046" s="53"/>
      <c r="J1046" s="53"/>
      <c r="M1046" s="53"/>
      <c r="AM1046" s="49"/>
    </row>
    <row r="1047" spans="2:39" ht="25.15" customHeight="1" x14ac:dyDescent="0.25">
      <c r="B1047" s="55"/>
      <c r="C1047" s="51"/>
      <c r="D1047" s="75"/>
      <c r="E1047" s="53"/>
      <c r="H1047" s="53"/>
      <c r="J1047" s="53"/>
      <c r="M1047" s="53"/>
      <c r="AM1047" s="49"/>
    </row>
    <row r="1048" spans="2:39" ht="25.15" customHeight="1" x14ac:dyDescent="0.25">
      <c r="B1048" s="55"/>
      <c r="C1048" s="51"/>
      <c r="D1048" s="75"/>
      <c r="E1048" s="53"/>
      <c r="H1048" s="53"/>
      <c r="J1048" s="53"/>
      <c r="M1048" s="53"/>
      <c r="AM1048" s="49"/>
    </row>
    <row r="1049" spans="2:39" ht="25.15" customHeight="1" x14ac:dyDescent="0.25">
      <c r="B1049" s="55"/>
      <c r="C1049" s="51"/>
      <c r="D1049" s="75"/>
      <c r="E1049" s="53"/>
      <c r="H1049" s="53"/>
      <c r="J1049" s="53"/>
      <c r="M1049" s="53"/>
      <c r="AM1049" s="49"/>
    </row>
    <row r="1050" spans="2:39" ht="25.15" customHeight="1" x14ac:dyDescent="0.25">
      <c r="B1050" s="55"/>
      <c r="C1050" s="51"/>
      <c r="D1050" s="75"/>
      <c r="E1050" s="53"/>
      <c r="H1050" s="53"/>
      <c r="J1050" s="53"/>
      <c r="M1050" s="53"/>
      <c r="AM1050" s="49"/>
    </row>
    <row r="1051" spans="2:39" ht="25.15" customHeight="1" x14ac:dyDescent="0.25">
      <c r="B1051" s="55"/>
      <c r="C1051" s="51"/>
      <c r="D1051" s="75"/>
      <c r="E1051" s="53"/>
      <c r="H1051" s="53"/>
      <c r="J1051" s="53"/>
      <c r="M1051" s="53"/>
      <c r="AM1051" s="49"/>
    </row>
    <row r="1052" spans="2:39" ht="25.15" customHeight="1" x14ac:dyDescent="0.25">
      <c r="B1052" s="55"/>
      <c r="C1052" s="51"/>
      <c r="D1052" s="75"/>
      <c r="E1052" s="53"/>
      <c r="H1052" s="53"/>
      <c r="J1052" s="53"/>
      <c r="M1052" s="53"/>
      <c r="AM1052" s="49"/>
    </row>
    <row r="1053" spans="2:39" ht="25.15" customHeight="1" x14ac:dyDescent="0.25">
      <c r="B1053" s="55"/>
      <c r="C1053" s="51"/>
      <c r="D1053" s="75"/>
      <c r="E1053" s="53"/>
      <c r="H1053" s="53"/>
      <c r="J1053" s="53"/>
      <c r="M1053" s="53"/>
      <c r="AM1053" s="49"/>
    </row>
    <row r="1054" spans="2:39" ht="25.15" customHeight="1" x14ac:dyDescent="0.25">
      <c r="B1054" s="55"/>
      <c r="C1054" s="51"/>
      <c r="D1054" s="75"/>
      <c r="E1054" s="53"/>
      <c r="H1054" s="53"/>
      <c r="J1054" s="53"/>
      <c r="M1054" s="53"/>
      <c r="AM1054" s="49"/>
    </row>
    <row r="1055" spans="2:39" ht="25.15" customHeight="1" x14ac:dyDescent="0.25">
      <c r="B1055" s="55"/>
      <c r="C1055" s="51"/>
      <c r="D1055" s="75"/>
      <c r="E1055" s="53"/>
      <c r="H1055" s="53"/>
      <c r="J1055" s="53"/>
      <c r="M1055" s="53"/>
      <c r="AM1055" s="49"/>
    </row>
    <row r="1056" spans="2:39" ht="25.15" customHeight="1" x14ac:dyDescent="0.25">
      <c r="B1056" s="55"/>
      <c r="C1056" s="51"/>
      <c r="D1056" s="75"/>
      <c r="E1056" s="53"/>
      <c r="H1056" s="53"/>
      <c r="J1056" s="53"/>
      <c r="M1056" s="53"/>
      <c r="AM1056" s="49"/>
    </row>
    <row r="1057" spans="2:39" ht="25.15" customHeight="1" x14ac:dyDescent="0.25">
      <c r="B1057" s="55"/>
      <c r="C1057" s="51"/>
      <c r="D1057" s="75"/>
      <c r="E1057" s="53"/>
      <c r="H1057" s="53"/>
      <c r="J1057" s="53"/>
      <c r="M1057" s="53"/>
      <c r="AM1057" s="49"/>
    </row>
    <row r="1058" spans="2:39" ht="25.15" customHeight="1" x14ac:dyDescent="0.25">
      <c r="B1058" s="55"/>
      <c r="C1058" s="51"/>
      <c r="D1058" s="75"/>
      <c r="E1058" s="53"/>
      <c r="H1058" s="53"/>
      <c r="J1058" s="53"/>
      <c r="M1058" s="53"/>
      <c r="AM1058" s="49"/>
    </row>
    <row r="1059" spans="2:39" ht="25.15" customHeight="1" x14ac:dyDescent="0.25">
      <c r="B1059" s="55"/>
      <c r="C1059" s="51"/>
      <c r="D1059" s="75"/>
      <c r="E1059" s="53"/>
      <c r="H1059" s="53"/>
      <c r="J1059" s="53"/>
      <c r="M1059" s="53"/>
      <c r="AM1059" s="49"/>
    </row>
    <row r="1060" spans="2:39" ht="25.15" customHeight="1" x14ac:dyDescent="0.25">
      <c r="B1060" s="55"/>
      <c r="C1060" s="51"/>
      <c r="D1060" s="75"/>
      <c r="E1060" s="53"/>
      <c r="H1060" s="53"/>
      <c r="J1060" s="53"/>
      <c r="M1060" s="53"/>
      <c r="AM1060" s="49"/>
    </row>
    <row r="1061" spans="2:39" ht="25.15" customHeight="1" x14ac:dyDescent="0.25">
      <c r="B1061" s="55"/>
      <c r="C1061" s="51"/>
      <c r="D1061" s="75"/>
      <c r="E1061" s="53"/>
      <c r="H1061" s="53"/>
      <c r="J1061" s="53"/>
      <c r="M1061" s="53"/>
      <c r="AM1061" s="49"/>
    </row>
    <row r="1062" spans="2:39" ht="25.15" customHeight="1" x14ac:dyDescent="0.25">
      <c r="B1062" s="55"/>
      <c r="C1062" s="51"/>
      <c r="D1062" s="75"/>
      <c r="E1062" s="53"/>
      <c r="H1062" s="53"/>
      <c r="J1062" s="53"/>
      <c r="M1062" s="53"/>
      <c r="AM1062" s="49"/>
    </row>
    <row r="1063" spans="2:39" ht="25.15" customHeight="1" x14ac:dyDescent="0.25">
      <c r="B1063" s="55"/>
      <c r="C1063" s="51"/>
      <c r="D1063" s="75"/>
      <c r="E1063" s="53"/>
      <c r="H1063" s="53"/>
      <c r="J1063" s="53"/>
      <c r="M1063" s="53"/>
      <c r="AM1063" s="49"/>
    </row>
    <row r="1064" spans="2:39" ht="25.15" customHeight="1" x14ac:dyDescent="0.25">
      <c r="B1064" s="55"/>
      <c r="C1064" s="51"/>
      <c r="D1064" s="75"/>
      <c r="E1064" s="53"/>
      <c r="H1064" s="53"/>
      <c r="J1064" s="53"/>
      <c r="M1064" s="53"/>
      <c r="AM1064" s="49"/>
    </row>
    <row r="1065" spans="2:39" ht="25.15" customHeight="1" x14ac:dyDescent="0.25">
      <c r="B1065" s="55"/>
      <c r="C1065" s="51"/>
      <c r="D1065" s="75"/>
      <c r="E1065" s="53"/>
      <c r="H1065" s="53"/>
      <c r="J1065" s="53"/>
      <c r="M1065" s="53"/>
      <c r="AM1065" s="49"/>
    </row>
    <row r="1066" spans="2:39" ht="25.15" customHeight="1" x14ac:dyDescent="0.25">
      <c r="B1066" s="55"/>
      <c r="C1066" s="51"/>
      <c r="D1066" s="75"/>
      <c r="E1066" s="53"/>
      <c r="H1066" s="53"/>
      <c r="J1066" s="53"/>
      <c r="M1066" s="53"/>
      <c r="AM1066" s="49"/>
    </row>
    <row r="1067" spans="2:39" ht="25.15" customHeight="1" x14ac:dyDescent="0.25">
      <c r="B1067" s="55"/>
      <c r="C1067" s="51"/>
      <c r="D1067" s="75"/>
      <c r="E1067" s="53"/>
      <c r="H1067" s="53"/>
      <c r="J1067" s="53"/>
      <c r="M1067" s="53"/>
      <c r="AM1067" s="49"/>
    </row>
    <row r="1068" spans="2:39" ht="25.15" customHeight="1" x14ac:dyDescent="0.25">
      <c r="B1068" s="55"/>
      <c r="C1068" s="51"/>
      <c r="D1068" s="75"/>
      <c r="E1068" s="53"/>
      <c r="H1068" s="53"/>
      <c r="J1068" s="53"/>
      <c r="M1068" s="53"/>
      <c r="AM1068" s="49"/>
    </row>
    <row r="1069" spans="2:39" ht="25.15" customHeight="1" x14ac:dyDescent="0.25">
      <c r="B1069" s="55"/>
      <c r="C1069" s="51"/>
      <c r="D1069" s="75"/>
      <c r="E1069" s="53"/>
      <c r="H1069" s="53"/>
      <c r="J1069" s="53"/>
      <c r="M1069" s="53"/>
      <c r="AM1069" s="49"/>
    </row>
    <row r="1070" spans="2:39" ht="25.15" customHeight="1" x14ac:dyDescent="0.25">
      <c r="B1070" s="55"/>
      <c r="C1070" s="51"/>
      <c r="D1070" s="75"/>
      <c r="E1070" s="53"/>
      <c r="H1070" s="53"/>
      <c r="J1070" s="53"/>
      <c r="M1070" s="53"/>
      <c r="AM1070" s="49"/>
    </row>
    <row r="1071" spans="2:39" ht="25.15" customHeight="1" x14ac:dyDescent="0.25">
      <c r="B1071" s="55"/>
      <c r="C1071" s="51"/>
      <c r="D1071" s="75"/>
      <c r="E1071" s="53"/>
      <c r="H1071" s="53"/>
      <c r="J1071" s="53"/>
      <c r="M1071" s="53"/>
      <c r="AM1071" s="49"/>
    </row>
    <row r="1072" spans="2:39" ht="25.15" customHeight="1" x14ac:dyDescent="0.25">
      <c r="B1072" s="55"/>
      <c r="C1072" s="51"/>
      <c r="D1072" s="75"/>
      <c r="E1072" s="53"/>
      <c r="H1072" s="53"/>
      <c r="J1072" s="53"/>
      <c r="M1072" s="53"/>
      <c r="AM1072" s="49"/>
    </row>
    <row r="1073" spans="2:39" ht="25.15" customHeight="1" x14ac:dyDescent="0.25">
      <c r="B1073" s="55"/>
      <c r="C1073" s="51"/>
      <c r="D1073" s="75"/>
      <c r="E1073" s="53"/>
      <c r="H1073" s="53"/>
      <c r="J1073" s="53"/>
      <c r="M1073" s="53"/>
      <c r="AM1073" s="49"/>
    </row>
    <row r="1074" spans="2:39" ht="25.15" customHeight="1" x14ac:dyDescent="0.25">
      <c r="B1074" s="55"/>
      <c r="C1074" s="51"/>
      <c r="D1074" s="75"/>
      <c r="E1074" s="53"/>
      <c r="H1074" s="53"/>
      <c r="J1074" s="53"/>
      <c r="M1074" s="53"/>
      <c r="AM1074" s="49"/>
    </row>
    <row r="1075" spans="2:39" ht="25.15" customHeight="1" x14ac:dyDescent="0.25">
      <c r="B1075" s="55"/>
      <c r="C1075" s="51"/>
      <c r="D1075" s="75"/>
      <c r="E1075" s="53"/>
      <c r="H1075" s="53"/>
      <c r="J1075" s="53"/>
      <c r="M1075" s="53"/>
      <c r="AM1075" s="49"/>
    </row>
    <row r="1076" spans="2:39" ht="25.15" customHeight="1" x14ac:dyDescent="0.25">
      <c r="B1076" s="55"/>
      <c r="C1076" s="51"/>
      <c r="D1076" s="75"/>
      <c r="E1076" s="53"/>
      <c r="H1076" s="53"/>
      <c r="J1076" s="53"/>
      <c r="M1076" s="53"/>
      <c r="AM1076" s="49"/>
    </row>
    <row r="1077" spans="2:39" ht="25.15" customHeight="1" x14ac:dyDescent="0.25">
      <c r="B1077" s="55"/>
      <c r="C1077" s="51"/>
      <c r="D1077" s="75"/>
      <c r="E1077" s="53"/>
      <c r="H1077" s="53"/>
      <c r="J1077" s="53"/>
      <c r="M1077" s="53"/>
      <c r="AM1077" s="49"/>
    </row>
    <row r="1078" spans="2:39" ht="25.15" customHeight="1" x14ac:dyDescent="0.25">
      <c r="B1078" s="55"/>
      <c r="C1078" s="51"/>
      <c r="D1078" s="75"/>
      <c r="E1078" s="53"/>
      <c r="H1078" s="53"/>
      <c r="J1078" s="53"/>
      <c r="M1078" s="53"/>
      <c r="AM1078" s="49"/>
    </row>
    <row r="1079" spans="2:39" ht="25.15" customHeight="1" x14ac:dyDescent="0.25">
      <c r="B1079" s="55"/>
      <c r="C1079" s="51"/>
      <c r="D1079" s="75"/>
      <c r="E1079" s="53"/>
      <c r="H1079" s="53"/>
      <c r="J1079" s="53"/>
      <c r="M1079" s="53"/>
      <c r="AM1079" s="49"/>
    </row>
    <row r="1080" spans="2:39" ht="25.15" customHeight="1" x14ac:dyDescent="0.25">
      <c r="B1080" s="55"/>
      <c r="C1080" s="51"/>
      <c r="D1080" s="75"/>
      <c r="E1080" s="53"/>
      <c r="H1080" s="53"/>
      <c r="J1080" s="53"/>
      <c r="M1080" s="53"/>
      <c r="AM1080" s="49"/>
    </row>
    <row r="1081" spans="2:39" ht="25.15" customHeight="1" x14ac:dyDescent="0.25">
      <c r="B1081" s="55"/>
      <c r="C1081" s="51"/>
      <c r="D1081" s="75"/>
      <c r="E1081" s="53"/>
      <c r="H1081" s="53"/>
      <c r="J1081" s="53"/>
      <c r="M1081" s="53"/>
      <c r="AM1081" s="49"/>
    </row>
    <row r="1082" spans="2:39" ht="25.15" customHeight="1" x14ac:dyDescent="0.25">
      <c r="B1082" s="55"/>
      <c r="C1082" s="51"/>
      <c r="D1082" s="75"/>
      <c r="E1082" s="53"/>
      <c r="H1082" s="53"/>
      <c r="J1082" s="53"/>
      <c r="M1082" s="53"/>
      <c r="AM1082" s="49"/>
    </row>
  </sheetData>
  <autoFilter ref="A1:AO337" xr:uid="{00000000-0009-0000-0000-000000000000}">
    <filterColumn colId="2">
      <filters>
        <filter val="SE"/>
      </filters>
    </filterColumn>
  </autoFilter>
  <sortState xmlns:xlrd2="http://schemas.microsoft.com/office/spreadsheetml/2017/richdata2" ref="B5:AP335">
    <sortCondition ref="B5:B335"/>
  </sortState>
  <mergeCells count="4">
    <mergeCell ref="B1:B2"/>
    <mergeCell ref="D1:D2"/>
    <mergeCell ref="C1:C2"/>
    <mergeCell ref="A1:A2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0"/>
  <sheetViews>
    <sheetView tabSelected="1" zoomScale="70" zoomScaleNormal="70" workbookViewId="0">
      <selection activeCell="M21" sqref="M21"/>
    </sheetView>
  </sheetViews>
  <sheetFormatPr defaultRowHeight="15" x14ac:dyDescent="0.25"/>
  <cols>
    <col min="1" max="1" width="7.42578125" customWidth="1"/>
    <col min="2" max="2" width="27.140625" customWidth="1"/>
    <col min="3" max="3" width="18" customWidth="1"/>
    <col min="6" max="6" width="7.7109375" customWidth="1"/>
    <col min="7" max="7" width="7.140625" customWidth="1"/>
    <col min="8" max="8" width="7.7109375" customWidth="1"/>
    <col min="9" max="9" width="8.140625" customWidth="1"/>
    <col min="10" max="10" width="11.85546875" customWidth="1"/>
    <col min="12" max="12" width="16.5703125" customWidth="1"/>
    <col min="13" max="13" width="12.42578125" customWidth="1"/>
    <col min="14" max="14" width="10.28515625" customWidth="1"/>
    <col min="15" max="15" width="11.28515625" customWidth="1"/>
    <col min="16" max="16" width="11.42578125" customWidth="1"/>
    <col min="20" max="20" width="9.85546875" customWidth="1"/>
    <col min="22" max="22" width="12.85546875" customWidth="1"/>
    <col min="24" max="24" width="13.5703125" customWidth="1"/>
    <col min="25" max="25" width="14.28515625" customWidth="1"/>
    <col min="28" max="28" width="14.7109375" customWidth="1"/>
    <col min="29" max="29" width="14.7109375" style="101" customWidth="1"/>
    <col min="30" max="30" width="15" customWidth="1"/>
  </cols>
  <sheetData>
    <row r="1" spans="1:42" s="15" customFormat="1" ht="42.6" customHeight="1" x14ac:dyDescent="0.25">
      <c r="A1" s="83" t="s">
        <v>437</v>
      </c>
      <c r="B1" s="83" t="s">
        <v>438</v>
      </c>
      <c r="C1" s="83" t="s">
        <v>439</v>
      </c>
      <c r="D1" s="26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5" t="s">
        <v>9</v>
      </c>
      <c r="K1" s="6" t="s">
        <v>10</v>
      </c>
      <c r="L1" s="3" t="s">
        <v>440</v>
      </c>
      <c r="M1" s="82" t="s">
        <v>441</v>
      </c>
      <c r="N1" s="7" t="s">
        <v>13</v>
      </c>
      <c r="O1" s="7" t="s">
        <v>14</v>
      </c>
      <c r="P1" s="6" t="s">
        <v>15</v>
      </c>
      <c r="Q1" s="6" t="s">
        <v>16</v>
      </c>
      <c r="R1" s="8" t="s">
        <v>17</v>
      </c>
      <c r="S1" s="8" t="s">
        <v>18</v>
      </c>
      <c r="T1" s="9" t="s">
        <v>19</v>
      </c>
      <c r="U1" s="8" t="s">
        <v>20</v>
      </c>
      <c r="V1" s="5" t="s">
        <v>21</v>
      </c>
      <c r="W1" s="10" t="s">
        <v>22</v>
      </c>
      <c r="X1" s="7" t="s">
        <v>23</v>
      </c>
      <c r="Y1" s="2" t="s">
        <v>24</v>
      </c>
      <c r="Z1" s="8" t="s">
        <v>25</v>
      </c>
      <c r="AA1" s="10" t="s">
        <v>26</v>
      </c>
      <c r="AB1" s="8" t="s">
        <v>27</v>
      </c>
      <c r="AC1" s="8" t="s">
        <v>475</v>
      </c>
      <c r="AD1" s="8" t="s">
        <v>28</v>
      </c>
      <c r="AE1" s="9" t="s">
        <v>29</v>
      </c>
      <c r="AF1" s="9" t="s">
        <v>30</v>
      </c>
      <c r="AG1" s="8" t="s">
        <v>466</v>
      </c>
      <c r="AH1" s="8" t="s">
        <v>32</v>
      </c>
      <c r="AI1" s="11" t="s">
        <v>33</v>
      </c>
      <c r="AJ1" s="11" t="s">
        <v>34</v>
      </c>
      <c r="AK1" s="9" t="s">
        <v>35</v>
      </c>
      <c r="AL1" s="8" t="s">
        <v>36</v>
      </c>
      <c r="AM1" s="10" t="s">
        <v>37</v>
      </c>
      <c r="AN1" s="7" t="s">
        <v>38</v>
      </c>
      <c r="AO1" s="2" t="s">
        <v>39</v>
      </c>
      <c r="AP1" s="7" t="s">
        <v>40</v>
      </c>
    </row>
    <row r="2" spans="1:42" x14ac:dyDescent="0.25">
      <c r="A2" s="92">
        <v>45259</v>
      </c>
      <c r="B2" s="94" t="s">
        <v>442</v>
      </c>
      <c r="C2" s="94" t="s">
        <v>443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  <c r="P2" s="89"/>
      <c r="Q2" s="89"/>
      <c r="R2" s="89"/>
      <c r="S2" s="91"/>
      <c r="T2" s="89"/>
      <c r="U2" s="89"/>
      <c r="V2" s="89"/>
      <c r="W2" s="89"/>
      <c r="X2" s="89"/>
      <c r="Y2" s="89"/>
      <c r="Z2" s="91"/>
      <c r="AA2" s="89"/>
      <c r="AB2" s="89"/>
      <c r="AC2" s="90"/>
      <c r="AD2" s="89"/>
      <c r="AE2" s="89"/>
      <c r="AF2" s="89"/>
      <c r="AG2" s="89"/>
      <c r="AH2" s="89"/>
      <c r="AI2" s="89"/>
      <c r="AJ2" s="89"/>
      <c r="AK2" s="89"/>
      <c r="AL2" s="91"/>
      <c r="AM2" s="91"/>
      <c r="AN2" s="89"/>
      <c r="AO2" s="89"/>
      <c r="AP2" s="89"/>
    </row>
    <row r="3" spans="1:42" x14ac:dyDescent="0.25">
      <c r="A3" s="92">
        <v>45260</v>
      </c>
      <c r="B3" s="94" t="s">
        <v>444</v>
      </c>
      <c r="C3" s="94" t="s">
        <v>443</v>
      </c>
      <c r="D3" s="94"/>
      <c r="E3" s="89"/>
      <c r="F3" s="89"/>
      <c r="G3" s="89"/>
      <c r="H3" s="89"/>
      <c r="I3" s="91"/>
      <c r="J3" s="89"/>
      <c r="K3" s="89"/>
      <c r="L3" s="89"/>
      <c r="M3" s="89"/>
      <c r="N3" s="91"/>
      <c r="O3" s="89"/>
      <c r="P3" s="89"/>
      <c r="Q3" s="89"/>
      <c r="R3" s="89"/>
      <c r="S3" s="91"/>
      <c r="T3" s="89"/>
      <c r="U3" s="89"/>
      <c r="V3" s="89"/>
      <c r="W3" s="89"/>
      <c r="X3" s="89"/>
      <c r="Y3" s="89"/>
      <c r="Z3" s="89"/>
      <c r="AA3" s="89"/>
      <c r="AB3" s="89"/>
      <c r="AC3" s="90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</row>
    <row r="4" spans="1:42" x14ac:dyDescent="0.25">
      <c r="A4" s="92">
        <v>45260</v>
      </c>
      <c r="B4" s="94" t="s">
        <v>198</v>
      </c>
      <c r="C4" s="94" t="s">
        <v>443</v>
      </c>
      <c r="D4" s="89"/>
      <c r="E4" s="89"/>
      <c r="F4" s="91"/>
      <c r="G4" s="89"/>
      <c r="H4" s="89"/>
      <c r="I4" s="89"/>
      <c r="J4" s="89"/>
      <c r="K4" s="89"/>
      <c r="L4" s="89"/>
      <c r="M4" s="89"/>
      <c r="N4" s="91"/>
      <c r="O4" s="89"/>
      <c r="P4" s="89"/>
      <c r="Q4" s="89"/>
      <c r="R4" s="89"/>
      <c r="S4" s="91"/>
      <c r="T4" s="91"/>
      <c r="U4" s="89"/>
      <c r="V4" s="89"/>
      <c r="W4" s="89"/>
      <c r="X4" s="89"/>
      <c r="Y4" s="89"/>
      <c r="Z4" s="89"/>
      <c r="AA4" s="89"/>
      <c r="AB4" s="89"/>
      <c r="AC4" s="90"/>
      <c r="AD4" s="89"/>
      <c r="AE4" s="91"/>
      <c r="AF4" s="89"/>
      <c r="AG4" s="89"/>
      <c r="AH4" s="89"/>
      <c r="AI4" s="89"/>
      <c r="AJ4" s="89"/>
      <c r="AK4" s="89"/>
      <c r="AL4" s="89"/>
      <c r="AM4" s="89"/>
      <c r="AN4" s="89"/>
      <c r="AO4" s="91"/>
      <c r="AP4" s="89"/>
    </row>
    <row r="5" spans="1:42" x14ac:dyDescent="0.25">
      <c r="A5" s="92">
        <v>45261</v>
      </c>
      <c r="B5" s="94" t="s">
        <v>445</v>
      </c>
      <c r="C5" s="94" t="s">
        <v>446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91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90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</row>
    <row r="6" spans="1:42" x14ac:dyDescent="0.25">
      <c r="A6" s="92">
        <v>45261</v>
      </c>
      <c r="B6" s="89" t="s">
        <v>447</v>
      </c>
      <c r="C6" s="89" t="s">
        <v>443</v>
      </c>
      <c r="D6" s="89"/>
      <c r="E6" s="91"/>
      <c r="F6" s="89"/>
      <c r="G6" s="89"/>
      <c r="H6" s="89"/>
      <c r="I6" s="91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90"/>
      <c r="AD6" s="89"/>
      <c r="AE6" s="89"/>
      <c r="AF6" s="91"/>
      <c r="AG6" s="89"/>
      <c r="AH6" s="89"/>
      <c r="AI6" s="89"/>
      <c r="AJ6" s="89"/>
      <c r="AK6" s="89"/>
      <c r="AL6" s="89"/>
      <c r="AM6" s="89"/>
      <c r="AN6" s="89"/>
      <c r="AO6" s="89"/>
      <c r="AP6" s="89"/>
    </row>
    <row r="7" spans="1:42" x14ac:dyDescent="0.25">
      <c r="A7" s="96">
        <v>45266</v>
      </c>
      <c r="B7" s="89" t="s">
        <v>448</v>
      </c>
      <c r="C7" s="89" t="s">
        <v>446</v>
      </c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91"/>
      <c r="AC7" s="90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</row>
    <row r="8" spans="1:42" x14ac:dyDescent="0.25">
      <c r="A8" s="92">
        <v>45266</v>
      </c>
      <c r="B8" s="89" t="s">
        <v>449</v>
      </c>
      <c r="C8" s="89" t="s">
        <v>446</v>
      </c>
      <c r="D8" s="89"/>
      <c r="E8" s="89"/>
      <c r="F8" s="89"/>
      <c r="G8" s="89"/>
      <c r="H8" s="89"/>
      <c r="I8" s="89"/>
      <c r="J8" s="89"/>
      <c r="K8" s="89"/>
      <c r="L8" s="89"/>
      <c r="M8" s="89"/>
      <c r="N8" s="91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91"/>
      <c r="AC8" s="90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</row>
    <row r="9" spans="1:42" x14ac:dyDescent="0.25">
      <c r="A9" s="93">
        <v>45271</v>
      </c>
      <c r="B9" s="94" t="s">
        <v>445</v>
      </c>
      <c r="C9" s="94" t="s">
        <v>450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91"/>
      <c r="T9" s="89"/>
      <c r="U9" s="89"/>
      <c r="V9" s="89"/>
      <c r="W9" s="89"/>
      <c r="X9" s="89"/>
      <c r="Y9" s="89"/>
      <c r="Z9" s="89"/>
      <c r="AA9" s="89"/>
      <c r="AB9" s="89"/>
      <c r="AC9" s="90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</row>
    <row r="10" spans="1:42" x14ac:dyDescent="0.25">
      <c r="A10" s="93">
        <v>45272</v>
      </c>
      <c r="B10" s="97" t="s">
        <v>452</v>
      </c>
      <c r="C10" s="89" t="s">
        <v>443</v>
      </c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91"/>
      <c r="T10" s="89"/>
      <c r="U10" s="89"/>
      <c r="V10" s="89"/>
      <c r="W10" s="89"/>
      <c r="X10" s="89"/>
      <c r="Y10" s="89"/>
      <c r="Z10" s="89"/>
      <c r="AA10" s="89"/>
      <c r="AB10" s="89"/>
      <c r="AC10" s="90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</row>
    <row r="11" spans="1:42" x14ac:dyDescent="0.25">
      <c r="A11" s="92">
        <v>45273</v>
      </c>
      <c r="B11" s="89" t="s">
        <v>451</v>
      </c>
      <c r="C11" s="89" t="s">
        <v>443</v>
      </c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1"/>
      <c r="U11" s="89"/>
      <c r="V11" s="89"/>
      <c r="W11" s="98"/>
      <c r="X11" s="89"/>
      <c r="Y11" s="89"/>
      <c r="Z11" s="89"/>
      <c r="AA11" s="89"/>
      <c r="AB11" s="89"/>
      <c r="AC11" s="90"/>
      <c r="AD11" s="89"/>
      <c r="AE11" s="89"/>
      <c r="AF11" s="89"/>
      <c r="AG11" s="89"/>
      <c r="AH11" s="89"/>
      <c r="AI11" s="89"/>
      <c r="AJ11" s="98"/>
      <c r="AK11" s="89"/>
      <c r="AL11" s="89"/>
      <c r="AM11" s="91"/>
      <c r="AN11" s="90"/>
      <c r="AO11" s="89"/>
      <c r="AP11" s="89"/>
    </row>
    <row r="12" spans="1:42" x14ac:dyDescent="0.25">
      <c r="A12" s="92">
        <v>45275</v>
      </c>
      <c r="B12" s="89" t="s">
        <v>453</v>
      </c>
      <c r="C12" s="89" t="s">
        <v>443</v>
      </c>
      <c r="D12" s="89"/>
      <c r="E12" s="89"/>
      <c r="F12" s="89"/>
      <c r="G12" s="89"/>
      <c r="H12" s="89"/>
      <c r="I12" s="89"/>
      <c r="J12" s="89"/>
      <c r="K12" s="89"/>
      <c r="L12" s="89"/>
      <c r="M12" s="98"/>
      <c r="N12" s="98"/>
      <c r="O12" s="89"/>
      <c r="P12" s="91"/>
      <c r="Q12" s="89"/>
      <c r="R12" s="89"/>
      <c r="S12" s="89"/>
      <c r="T12" s="98"/>
      <c r="U12" s="89"/>
      <c r="V12" s="89"/>
      <c r="W12" s="89"/>
      <c r="X12" s="98"/>
      <c r="Y12" s="89"/>
      <c r="Z12" s="89"/>
      <c r="AA12" s="89"/>
      <c r="AB12" s="89"/>
      <c r="AC12" s="90"/>
      <c r="AD12" s="89"/>
      <c r="AE12" s="89"/>
      <c r="AF12" s="89"/>
      <c r="AG12" s="89"/>
      <c r="AH12" s="89"/>
      <c r="AI12" s="89"/>
      <c r="AJ12" s="89"/>
      <c r="AK12" s="89"/>
      <c r="AL12" s="89"/>
      <c r="AM12" s="98"/>
      <c r="AN12" s="89"/>
      <c r="AO12" s="89"/>
      <c r="AP12" s="89"/>
    </row>
    <row r="13" spans="1:42" x14ac:dyDescent="0.25">
      <c r="A13" s="92">
        <v>45275</v>
      </c>
      <c r="B13" s="89" t="s">
        <v>454</v>
      </c>
      <c r="C13" s="89" t="s">
        <v>443</v>
      </c>
      <c r="D13" s="89"/>
      <c r="E13" s="89"/>
      <c r="F13" s="89"/>
      <c r="G13" s="89"/>
      <c r="H13" s="89"/>
      <c r="I13" s="91"/>
      <c r="J13" s="89"/>
      <c r="K13" s="89"/>
      <c r="L13" s="89"/>
      <c r="M13" s="89"/>
      <c r="N13" s="89"/>
      <c r="O13" s="89"/>
      <c r="P13" s="89"/>
      <c r="Q13" s="89"/>
      <c r="R13" s="98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90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</row>
    <row r="14" spans="1:42" x14ac:dyDescent="0.25">
      <c r="A14" s="92">
        <v>45278</v>
      </c>
      <c r="B14" s="89" t="s">
        <v>455</v>
      </c>
      <c r="C14" s="89" t="s">
        <v>456</v>
      </c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90"/>
      <c r="X14" s="89"/>
      <c r="Y14" s="89"/>
      <c r="Z14" s="89"/>
      <c r="AA14" s="89"/>
      <c r="AB14" s="89"/>
      <c r="AC14" s="90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8"/>
    </row>
    <row r="15" spans="1:42" x14ac:dyDescent="0.25">
      <c r="A15" s="92">
        <v>45280</v>
      </c>
      <c r="B15" s="89" t="s">
        <v>461</v>
      </c>
      <c r="C15" s="89" t="s">
        <v>443</v>
      </c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98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90"/>
      <c r="AC15" s="90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</row>
    <row r="16" spans="1:42" x14ac:dyDescent="0.25">
      <c r="A16" s="92">
        <v>45281</v>
      </c>
      <c r="B16" s="89" t="s">
        <v>462</v>
      </c>
      <c r="C16" s="89" t="s">
        <v>450</v>
      </c>
      <c r="D16" s="89"/>
      <c r="E16" s="89"/>
      <c r="F16" s="89"/>
      <c r="G16" s="89"/>
      <c r="H16" s="89"/>
      <c r="I16" s="89"/>
      <c r="J16" s="89"/>
      <c r="K16" s="89"/>
      <c r="L16" s="89"/>
      <c r="M16" s="98"/>
      <c r="N16" s="98"/>
      <c r="O16" s="89"/>
      <c r="P16" s="89"/>
      <c r="Q16" s="89"/>
      <c r="R16" s="89"/>
      <c r="S16" s="89"/>
      <c r="T16" s="98"/>
      <c r="U16" s="89"/>
      <c r="V16" s="89"/>
      <c r="W16" s="89"/>
      <c r="X16" s="89"/>
      <c r="Y16" s="89"/>
      <c r="Z16" s="89"/>
      <c r="AA16" s="89"/>
      <c r="AB16" s="90"/>
      <c r="AC16" s="90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</row>
    <row r="17" spans="1:42" x14ac:dyDescent="0.25">
      <c r="A17" s="92">
        <v>45286</v>
      </c>
      <c r="B17" s="89" t="s">
        <v>463</v>
      </c>
      <c r="C17" s="89" t="s">
        <v>443</v>
      </c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98"/>
      <c r="T17" s="89"/>
      <c r="U17" s="89"/>
      <c r="V17" s="89"/>
      <c r="W17" s="89"/>
      <c r="X17" s="89"/>
      <c r="Y17" s="89"/>
      <c r="Z17" s="89"/>
      <c r="AA17" s="89"/>
      <c r="AB17" s="89"/>
      <c r="AC17" s="90"/>
      <c r="AD17" s="98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</row>
    <row r="18" spans="1:42" x14ac:dyDescent="0.25">
      <c r="A18" s="92">
        <v>45286</v>
      </c>
      <c r="B18" s="89" t="s">
        <v>463</v>
      </c>
      <c r="C18" s="89" t="s">
        <v>464</v>
      </c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90"/>
      <c r="AD18" s="89"/>
      <c r="AE18" s="89"/>
      <c r="AF18" s="89"/>
      <c r="AG18" s="89"/>
      <c r="AH18" s="89"/>
      <c r="AI18" s="89"/>
      <c r="AJ18" s="89"/>
      <c r="AK18" s="89"/>
      <c r="AL18" s="98"/>
      <c r="AM18" s="89"/>
      <c r="AN18" s="89"/>
      <c r="AO18" s="89"/>
      <c r="AP18" s="89"/>
    </row>
    <row r="19" spans="1:42" x14ac:dyDescent="0.25">
      <c r="A19" s="92">
        <v>45287</v>
      </c>
      <c r="B19" s="89" t="s">
        <v>465</v>
      </c>
      <c r="C19" s="89" t="s">
        <v>443</v>
      </c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98"/>
      <c r="P19" s="89"/>
      <c r="Q19" s="89"/>
      <c r="R19" s="89"/>
      <c r="S19" s="89"/>
      <c r="T19" s="89"/>
      <c r="U19" s="89"/>
      <c r="V19" s="89"/>
      <c r="W19" s="98"/>
      <c r="X19" s="89"/>
      <c r="Y19" s="89"/>
      <c r="Z19" s="89"/>
      <c r="AA19" s="89"/>
      <c r="AB19" s="89"/>
      <c r="AC19" s="90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</row>
    <row r="20" spans="1:42" x14ac:dyDescent="0.25">
      <c r="A20" s="92">
        <v>45287</v>
      </c>
      <c r="B20" s="89" t="s">
        <v>463</v>
      </c>
      <c r="C20" s="89" t="s">
        <v>464</v>
      </c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90"/>
      <c r="AD20" s="89"/>
      <c r="AE20" s="89"/>
      <c r="AF20" s="89"/>
      <c r="AG20" s="89"/>
      <c r="AH20" s="89"/>
      <c r="AI20" s="89"/>
      <c r="AJ20" s="89"/>
      <c r="AK20" s="89"/>
      <c r="AL20" s="98"/>
      <c r="AM20" s="89"/>
      <c r="AN20" s="89"/>
      <c r="AO20" s="89"/>
      <c r="AP20" s="89"/>
    </row>
    <row r="21" spans="1:42" x14ac:dyDescent="0.25">
      <c r="A21" s="92">
        <v>45288</v>
      </c>
      <c r="B21" s="89" t="s">
        <v>469</v>
      </c>
      <c r="C21" s="89" t="s">
        <v>464</v>
      </c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90"/>
      <c r="AD21" s="89"/>
      <c r="AE21" s="89"/>
      <c r="AF21" s="89"/>
      <c r="AG21" s="89"/>
      <c r="AH21" s="89"/>
      <c r="AI21" s="98"/>
      <c r="AJ21" s="89"/>
      <c r="AK21" s="89"/>
      <c r="AL21" s="89"/>
      <c r="AM21" s="89"/>
      <c r="AN21" s="89"/>
      <c r="AO21" s="89"/>
      <c r="AP21" s="89"/>
    </row>
    <row r="22" spans="1:42" x14ac:dyDescent="0.25">
      <c r="A22" s="99">
        <v>45300</v>
      </c>
      <c r="B22" s="100" t="s">
        <v>470</v>
      </c>
      <c r="C22" s="100" t="s">
        <v>471</v>
      </c>
      <c r="D22" s="89"/>
      <c r="E22" s="89"/>
      <c r="F22" s="89"/>
      <c r="G22" s="89"/>
      <c r="H22" s="89"/>
      <c r="I22" s="89"/>
      <c r="J22" s="89"/>
      <c r="K22" s="89"/>
      <c r="L22" s="89"/>
      <c r="M22" s="98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90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</row>
    <row r="23" spans="1:42" x14ac:dyDescent="0.25">
      <c r="A23" s="92">
        <v>45301</v>
      </c>
      <c r="B23" s="89" t="s">
        <v>472</v>
      </c>
      <c r="C23" s="89" t="s">
        <v>473</v>
      </c>
      <c r="D23" s="89"/>
      <c r="E23" s="89"/>
      <c r="F23" s="89"/>
      <c r="G23" s="89"/>
      <c r="H23" s="98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98"/>
      <c r="T23" s="89"/>
      <c r="U23" s="89"/>
      <c r="V23" s="89"/>
      <c r="W23" s="89"/>
      <c r="X23" s="89"/>
      <c r="Y23" s="89"/>
      <c r="Z23" s="89"/>
      <c r="AA23" s="89"/>
      <c r="AB23" s="89"/>
      <c r="AC23" s="90"/>
      <c r="AD23" s="89"/>
      <c r="AE23" s="89"/>
      <c r="AF23" s="89"/>
      <c r="AG23" s="89"/>
      <c r="AH23" s="89"/>
      <c r="AI23" s="89"/>
      <c r="AJ23" s="98"/>
      <c r="AK23" s="89"/>
      <c r="AL23" s="89"/>
      <c r="AM23" s="89"/>
      <c r="AN23" s="89"/>
      <c r="AO23" s="98"/>
      <c r="AP23" s="98"/>
    </row>
    <row r="24" spans="1:42" x14ac:dyDescent="0.25">
      <c r="A24" s="92">
        <v>45301</v>
      </c>
      <c r="B24" s="89" t="s">
        <v>474</v>
      </c>
      <c r="C24" s="89" t="s">
        <v>443</v>
      </c>
      <c r="D24" s="89"/>
      <c r="E24" s="89"/>
      <c r="F24" s="89"/>
      <c r="G24" s="98"/>
      <c r="H24" s="89"/>
      <c r="I24" s="89"/>
      <c r="J24" s="89"/>
      <c r="K24" s="89"/>
      <c r="L24" s="89"/>
      <c r="M24" s="89"/>
      <c r="N24" s="89"/>
      <c r="O24" s="98"/>
      <c r="P24" s="98"/>
      <c r="Q24" s="89"/>
      <c r="R24" s="89"/>
      <c r="S24" s="89"/>
      <c r="T24" s="98"/>
      <c r="U24" s="98"/>
      <c r="V24" s="89"/>
      <c r="W24" s="98"/>
      <c r="X24" s="89"/>
      <c r="Y24" s="89"/>
      <c r="Z24" s="89"/>
      <c r="AA24" s="89"/>
      <c r="AB24" s="89"/>
      <c r="AC24" s="98"/>
      <c r="AD24" s="98"/>
      <c r="AE24" s="89"/>
      <c r="AF24" s="89"/>
      <c r="AG24" s="89"/>
      <c r="AH24" s="89"/>
      <c r="AI24" s="89"/>
      <c r="AJ24" s="89"/>
      <c r="AK24" s="89"/>
      <c r="AL24" s="89"/>
      <c r="AM24" s="89"/>
      <c r="AN24" s="98"/>
      <c r="AO24" s="89"/>
      <c r="AP24" s="89"/>
    </row>
    <row r="25" spans="1:42" x14ac:dyDescent="0.25">
      <c r="A25" s="92">
        <v>45301</v>
      </c>
      <c r="B25" s="89" t="s">
        <v>476</v>
      </c>
      <c r="C25" s="89" t="s">
        <v>446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98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</row>
    <row r="26" spans="1:42" x14ac:dyDescent="0.25">
      <c r="A26" s="92">
        <v>45301</v>
      </c>
      <c r="B26" s="89" t="s">
        <v>477</v>
      </c>
      <c r="C26" s="89" t="s">
        <v>479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98"/>
      <c r="Y26" s="89"/>
      <c r="Z26" s="89"/>
      <c r="AA26" s="89"/>
      <c r="AB26" s="89"/>
      <c r="AC26" s="90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</row>
    <row r="27" spans="1:42" x14ac:dyDescent="0.25">
      <c r="A27" s="92">
        <v>45301</v>
      </c>
      <c r="B27" s="89" t="s">
        <v>478</v>
      </c>
      <c r="C27" s="89" t="s">
        <v>446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8"/>
      <c r="O27" s="89"/>
      <c r="P27" s="98"/>
      <c r="Q27" s="98"/>
      <c r="R27" s="89"/>
      <c r="S27" s="89"/>
      <c r="T27" s="89"/>
      <c r="U27" s="89"/>
      <c r="V27" s="89"/>
      <c r="W27" s="89"/>
      <c r="X27" s="98"/>
      <c r="Y27" s="89"/>
      <c r="Z27" s="89"/>
      <c r="AA27" s="89"/>
      <c r="AB27" s="89"/>
      <c r="AC27" s="90"/>
      <c r="AD27" s="89"/>
      <c r="AE27" s="89"/>
      <c r="AF27" s="89"/>
      <c r="AG27" s="89"/>
      <c r="AH27" s="89"/>
      <c r="AI27" s="98"/>
      <c r="AJ27" s="89"/>
      <c r="AK27" s="89"/>
      <c r="AL27" s="89"/>
      <c r="AM27" s="98"/>
      <c r="AN27" s="89"/>
      <c r="AO27" s="89"/>
      <c r="AP27" s="89"/>
    </row>
    <row r="28" spans="1:42" x14ac:dyDescent="0.25">
      <c r="A28" s="92">
        <v>45307</v>
      </c>
      <c r="B28" s="89" t="s">
        <v>480</v>
      </c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98"/>
      <c r="Q28" s="89"/>
      <c r="R28" s="89"/>
      <c r="S28" s="89"/>
      <c r="T28" s="98"/>
      <c r="U28" s="89"/>
      <c r="V28" s="89"/>
      <c r="W28" s="89"/>
      <c r="X28" s="89"/>
      <c r="Y28" s="89"/>
      <c r="Z28" s="89"/>
      <c r="AA28" s="89"/>
      <c r="AB28" s="89"/>
      <c r="AC28" s="90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</row>
    <row r="29" spans="1:42" x14ac:dyDescent="0.25">
      <c r="A29" s="92">
        <v>45307</v>
      </c>
      <c r="B29" s="108" t="s">
        <v>481</v>
      </c>
      <c r="C29" s="89"/>
      <c r="D29" s="89"/>
      <c r="E29" s="89"/>
      <c r="F29" s="89"/>
      <c r="G29" s="98"/>
      <c r="H29" s="89"/>
      <c r="I29" s="89"/>
      <c r="J29" s="89"/>
      <c r="K29" s="89"/>
      <c r="L29" s="89"/>
      <c r="M29" s="89"/>
      <c r="N29" s="89"/>
      <c r="O29" s="89"/>
      <c r="P29" s="9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90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</row>
    <row r="30" spans="1:42" x14ac:dyDescent="0.25">
      <c r="A30" s="92">
        <v>45307</v>
      </c>
      <c r="B30" s="108" t="s">
        <v>482</v>
      </c>
      <c r="C30" s="89"/>
      <c r="D30" s="89"/>
      <c r="E30" s="98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98"/>
      <c r="AA30" s="89"/>
      <c r="AB30" s="89"/>
      <c r="AC30" s="90"/>
      <c r="AD30" s="89"/>
      <c r="AE30" s="89"/>
      <c r="AF30" s="98"/>
      <c r="AG30" s="89"/>
      <c r="AH30" s="89"/>
      <c r="AI30" s="89"/>
      <c r="AJ30" s="89"/>
      <c r="AK30" s="89"/>
      <c r="AL30" s="89"/>
      <c r="AM30" s="89"/>
      <c r="AN30" s="89"/>
      <c r="AO30" s="89"/>
      <c r="AP30" s="89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CAMPANHA DE CARTAS</vt:lpstr>
      <vt:lpstr>OUTROS ENVIOS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Wesley</dc:creator>
  <cp:keywords/>
  <dc:description/>
  <cp:lastModifiedBy>LENOVO</cp:lastModifiedBy>
  <cp:revision/>
  <dcterms:created xsi:type="dcterms:W3CDTF">2023-03-06T00:24:00Z</dcterms:created>
  <dcterms:modified xsi:type="dcterms:W3CDTF">2024-01-22T13:30:38Z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C74A7FB37674402F816E2544EE57C65B</vt:lpwstr>
  </property>
  <property fmtid="{D5CDD505-2E9C-101B-9397-08002B2CF9AE}" pid="3" name="KSOProductBuildVer">
    <vt:lpwstr>1046-11.2.0.11537</vt:lpwstr>
  </property>
</Properties>
</file>